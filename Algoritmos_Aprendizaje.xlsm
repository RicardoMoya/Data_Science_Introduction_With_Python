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cardomoya/Documents/DOCENCIA/2_UTAD/Curso_2019_20/1_ASIGNATURAS/Introducción a la Analítica/Data_Science_Introduction_With_Python/"/>
    </mc:Choice>
  </mc:AlternateContent>
  <xr:revisionPtr revIDLastSave="0" documentId="13_ncr:1_{D587924C-50A2-6E40-B686-98A1DFC437AD}" xr6:coauthVersionLast="45" xr6:coauthVersionMax="45" xr10:uidLastSave="{00000000-0000-0000-0000-000000000000}"/>
  <bookViews>
    <workbookView xWindow="33600" yWindow="460" windowWidth="37480" windowHeight="21140" xr2:uid="{8751F87C-44BD-4C82-81F2-39D84E09753C}"/>
  </bookViews>
  <sheets>
    <sheet name="Regresión Lineal" sheetId="9" r:id="rId1"/>
    <sheet name="Regresión Logistica" sheetId="11" r:id="rId2"/>
    <sheet name="K-Means" sheetId="1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4" l="1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" i="14"/>
  <c r="E17" i="14" l="1"/>
  <c r="E13" i="14"/>
  <c r="E9" i="14"/>
  <c r="E5" i="14"/>
  <c r="E2" i="14"/>
  <c r="E16" i="14"/>
  <c r="E12" i="14"/>
  <c r="E8" i="14"/>
  <c r="E4" i="14"/>
  <c r="E19" i="14"/>
  <c r="E11" i="14"/>
  <c r="E15" i="14"/>
  <c r="E7" i="14"/>
  <c r="E3" i="14"/>
  <c r="E18" i="14"/>
  <c r="E14" i="14"/>
  <c r="E10" i="14"/>
  <c r="E6" i="14"/>
  <c r="D8" i="11"/>
  <c r="I9" i="11"/>
  <c r="J9" i="11" s="1"/>
  <c r="J8" i="11"/>
  <c r="A35" i="14" l="1"/>
  <c r="C35" i="14"/>
  <c r="D35" i="14"/>
  <c r="B35" i="14"/>
  <c r="D25" i="14"/>
  <c r="B25" i="14"/>
  <c r="A25" i="14"/>
  <c r="C25" i="14"/>
  <c r="A31" i="14"/>
  <c r="C31" i="14"/>
  <c r="D31" i="14"/>
  <c r="B31" i="14"/>
  <c r="D29" i="14"/>
  <c r="B29" i="14"/>
  <c r="A29" i="14"/>
  <c r="C29" i="14"/>
  <c r="D26" i="14"/>
  <c r="B26" i="14"/>
  <c r="C26" i="14"/>
  <c r="A26" i="14"/>
  <c r="A23" i="14"/>
  <c r="C23" i="14"/>
  <c r="D23" i="14"/>
  <c r="B23" i="14"/>
  <c r="A39" i="14"/>
  <c r="C39" i="14"/>
  <c r="D39" i="14"/>
  <c r="B39" i="14"/>
  <c r="B36" i="14"/>
  <c r="A36" i="14"/>
  <c r="C36" i="14"/>
  <c r="D36" i="14"/>
  <c r="D33" i="14"/>
  <c r="B33" i="14"/>
  <c r="A33" i="14"/>
  <c r="C33" i="14"/>
  <c r="D34" i="14"/>
  <c r="B34" i="14"/>
  <c r="A34" i="14"/>
  <c r="C34" i="14"/>
  <c r="A28" i="14"/>
  <c r="C28" i="14"/>
  <c r="D28" i="14"/>
  <c r="B28" i="14"/>
  <c r="A38" i="14"/>
  <c r="D38" i="14"/>
  <c r="B38" i="14"/>
  <c r="C38" i="14"/>
  <c r="D32" i="14"/>
  <c r="A32" i="14"/>
  <c r="C32" i="14"/>
  <c r="B32" i="14"/>
  <c r="A30" i="14"/>
  <c r="C30" i="14"/>
  <c r="D30" i="14"/>
  <c r="B30" i="14"/>
  <c r="A27" i="14"/>
  <c r="C27" i="14"/>
  <c r="D27" i="14"/>
  <c r="B27" i="14"/>
  <c r="B24" i="14"/>
  <c r="A24" i="14"/>
  <c r="C24" i="14"/>
  <c r="D24" i="14"/>
  <c r="A22" i="14"/>
  <c r="C22" i="14"/>
  <c r="D22" i="14"/>
  <c r="B22" i="14"/>
  <c r="D37" i="14"/>
  <c r="B37" i="14"/>
  <c r="A37" i="14"/>
  <c r="C37" i="14"/>
  <c r="I13" i="14"/>
  <c r="I12" i="14"/>
  <c r="H13" i="14"/>
  <c r="H12" i="14"/>
  <c r="I10" i="11"/>
  <c r="I11" i="11" s="1"/>
  <c r="J11" i="11"/>
  <c r="I12" i="11"/>
  <c r="J10" i="11"/>
  <c r="D25" i="11"/>
  <c r="E25" i="11" s="1"/>
  <c r="G25" i="11" s="1"/>
  <c r="D24" i="11"/>
  <c r="E24" i="11" s="1"/>
  <c r="G24" i="11" s="1"/>
  <c r="D23" i="11"/>
  <c r="E23" i="11" s="1"/>
  <c r="H23" i="11" s="1"/>
  <c r="D22" i="11"/>
  <c r="E22" i="11" s="1"/>
  <c r="H22" i="11" s="1"/>
  <c r="D21" i="11"/>
  <c r="E21" i="11" s="1"/>
  <c r="G21" i="11" s="1"/>
  <c r="D20" i="11"/>
  <c r="E20" i="11" s="1"/>
  <c r="G20" i="11" s="1"/>
  <c r="D19" i="11"/>
  <c r="E19" i="11" s="1"/>
  <c r="H19" i="11" s="1"/>
  <c r="D18" i="11"/>
  <c r="E18" i="11" s="1"/>
  <c r="H18" i="11" s="1"/>
  <c r="D17" i="11"/>
  <c r="E17" i="11" s="1"/>
  <c r="G17" i="11" s="1"/>
  <c r="D16" i="11"/>
  <c r="E16" i="11" s="1"/>
  <c r="G16" i="11" s="1"/>
  <c r="D15" i="11"/>
  <c r="E15" i="11" s="1"/>
  <c r="H15" i="11" s="1"/>
  <c r="D14" i="11"/>
  <c r="E14" i="11" s="1"/>
  <c r="H14" i="11" s="1"/>
  <c r="D13" i="11"/>
  <c r="E13" i="11" s="1"/>
  <c r="G13" i="11" s="1"/>
  <c r="D12" i="11"/>
  <c r="E12" i="11" s="1"/>
  <c r="G12" i="11" s="1"/>
  <c r="D11" i="11"/>
  <c r="E11" i="11" s="1"/>
  <c r="H11" i="11" s="1"/>
  <c r="D10" i="11"/>
  <c r="E10" i="11" s="1"/>
  <c r="H10" i="11" s="1"/>
  <c r="D9" i="11"/>
  <c r="E9" i="11" s="1"/>
  <c r="G9" i="11" s="1"/>
  <c r="E8" i="11"/>
  <c r="H8" i="11" l="1"/>
  <c r="F8" i="11"/>
  <c r="I13" i="11"/>
  <c r="J12" i="11"/>
  <c r="F22" i="11"/>
  <c r="F17" i="11"/>
  <c r="G23" i="11"/>
  <c r="F25" i="11"/>
  <c r="H25" i="11"/>
  <c r="F21" i="11"/>
  <c r="F13" i="11"/>
  <c r="F9" i="11"/>
  <c r="G19" i="11"/>
  <c r="G15" i="11"/>
  <c r="G11" i="11"/>
  <c r="H21" i="11"/>
  <c r="H17" i="11"/>
  <c r="H13" i="11"/>
  <c r="H9" i="11"/>
  <c r="F24" i="11"/>
  <c r="F20" i="11"/>
  <c r="F16" i="11"/>
  <c r="F12" i="11"/>
  <c r="G8" i="11"/>
  <c r="G22" i="11"/>
  <c r="G18" i="11"/>
  <c r="G14" i="11"/>
  <c r="G10" i="11"/>
  <c r="H24" i="11"/>
  <c r="H20" i="11"/>
  <c r="H16" i="11"/>
  <c r="H12" i="11"/>
  <c r="F23" i="11"/>
  <c r="F19" i="11"/>
  <c r="F15" i="11"/>
  <c r="F11" i="11"/>
  <c r="F18" i="11"/>
  <c r="F14" i="11"/>
  <c r="F10" i="11"/>
  <c r="J13" i="11" l="1"/>
  <c r="I14" i="11"/>
  <c r="D5" i="11"/>
  <c r="E5" i="11"/>
  <c r="C5" i="11"/>
  <c r="I15" i="11" l="1"/>
  <c r="J14" i="11"/>
  <c r="J15" i="11" l="1"/>
  <c r="I16" i="11"/>
  <c r="C9" i="9"/>
  <c r="I17" i="11" l="1"/>
  <c r="J16" i="11"/>
  <c r="B10" i="9"/>
  <c r="B11" i="9"/>
  <c r="B12" i="9"/>
  <c r="B13" i="9"/>
  <c r="B14" i="9"/>
  <c r="B15" i="9"/>
  <c r="B16" i="9"/>
  <c r="B17" i="9"/>
  <c r="B18" i="9"/>
  <c r="B19" i="9"/>
  <c r="B9" i="9"/>
  <c r="C10" i="9"/>
  <c r="C11" i="9"/>
  <c r="C12" i="9"/>
  <c r="C13" i="9"/>
  <c r="C14" i="9"/>
  <c r="C15" i="9"/>
  <c r="C16" i="9"/>
  <c r="C17" i="9"/>
  <c r="C18" i="9"/>
  <c r="C19" i="9"/>
  <c r="J17" i="11" l="1"/>
  <c r="I18" i="11"/>
  <c r="D9" i="9"/>
  <c r="E9" i="9" s="1"/>
  <c r="D11" i="9"/>
  <c r="D10" i="9"/>
  <c r="D12" i="9"/>
  <c r="D13" i="9"/>
  <c r="D18" i="9"/>
  <c r="D15" i="9"/>
  <c r="D16" i="9"/>
  <c r="D17" i="9"/>
  <c r="D19" i="9"/>
  <c r="D14" i="9"/>
  <c r="I19" i="11" l="1"/>
  <c r="J18" i="11"/>
  <c r="D20" i="9"/>
  <c r="F9" i="9"/>
  <c r="F17" i="9"/>
  <c r="E17" i="9"/>
  <c r="F13" i="9"/>
  <c r="E13" i="9"/>
  <c r="E16" i="9"/>
  <c r="F16" i="9"/>
  <c r="E12" i="9"/>
  <c r="F12" i="9"/>
  <c r="F14" i="9"/>
  <c r="E14" i="9"/>
  <c r="E15" i="9"/>
  <c r="F15" i="9"/>
  <c r="E10" i="9"/>
  <c r="F10" i="9"/>
  <c r="E19" i="9"/>
  <c r="F19" i="9"/>
  <c r="F18" i="9"/>
  <c r="E18" i="9"/>
  <c r="E11" i="9"/>
  <c r="F11" i="9"/>
  <c r="J19" i="11" l="1"/>
  <c r="I20" i="11"/>
  <c r="D6" i="9"/>
  <c r="C6" i="9"/>
  <c r="I21" i="11" l="1"/>
  <c r="J20" i="11"/>
  <c r="J21" i="11" l="1"/>
  <c r="I22" i="11"/>
  <c r="I23" i="11" l="1"/>
  <c r="J22" i="11"/>
  <c r="J23" i="11" l="1"/>
  <c r="I24" i="11"/>
  <c r="I25" i="11" l="1"/>
  <c r="J25" i="11" s="1"/>
  <c r="J24" i="11"/>
</calcChain>
</file>

<file path=xl/sharedStrings.xml><?xml version="1.0" encoding="utf-8"?>
<sst xmlns="http://schemas.openxmlformats.org/spreadsheetml/2006/main" count="49" uniqueCount="38">
  <si>
    <t>Alpha</t>
  </si>
  <si>
    <t>X</t>
  </si>
  <si>
    <t>Y</t>
  </si>
  <si>
    <t>h(x)</t>
  </si>
  <si>
    <t>error</t>
  </si>
  <si>
    <t>a</t>
  </si>
  <si>
    <t>b</t>
  </si>
  <si>
    <t>Funcíon de perdida</t>
  </si>
  <si>
    <t>Y = a·X + b</t>
  </si>
  <si>
    <t>old</t>
  </si>
  <si>
    <t>new</t>
  </si>
  <si>
    <t>error*x</t>
  </si>
  <si>
    <t>Teórico</t>
  </si>
  <si>
    <t>Error</t>
  </si>
  <si>
    <t>X1</t>
  </si>
  <si>
    <t>X2</t>
  </si>
  <si>
    <t>Error*X1</t>
  </si>
  <si>
    <t>Error*X2</t>
  </si>
  <si>
    <t>g(Z)</t>
  </si>
  <si>
    <t>Z = B0 + B1·X1 + B2·X2</t>
  </si>
  <si>
    <t>B0</t>
  </si>
  <si>
    <t>B1</t>
  </si>
  <si>
    <t>B2</t>
  </si>
  <si>
    <t>Z</t>
  </si>
  <si>
    <t>x_log</t>
  </si>
  <si>
    <t>Dist_C1</t>
  </si>
  <si>
    <t>Dist_C2</t>
  </si>
  <si>
    <t>Cluster</t>
  </si>
  <si>
    <t>OLD</t>
  </si>
  <si>
    <t>NEW</t>
  </si>
  <si>
    <t>Media (X1)</t>
  </si>
  <si>
    <t>Media (X2)</t>
  </si>
  <si>
    <t>Centroide_C1</t>
  </si>
  <si>
    <t>Centroide_C2</t>
  </si>
  <si>
    <t>x1_c1</t>
  </si>
  <si>
    <t>x2_c1</t>
  </si>
  <si>
    <t>x1_c2</t>
  </si>
  <si>
    <t>x2_c2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</si>
</sst>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Verdan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1"/>
      <color theme="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</cellStyleXfs>
  <cellXfs count="5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0" fillId="0" borderId="0" xfId="0" applyNumberFormat="1"/>
    <xf numFmtId="0" fontId="10" fillId="4" borderId="0" xfId="2" applyAlignment="1">
      <alignment horizontal="center" vertical="center"/>
    </xf>
    <xf numFmtId="0" fontId="11" fillId="5" borderId="0" xfId="3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0" fontId="12" fillId="0" borderId="0" xfId="0" applyFont="1" applyAlignment="1">
      <alignment horizontal="center"/>
    </xf>
    <xf numFmtId="164" fontId="10" fillId="4" borderId="0" xfId="2" applyNumberFormat="1" applyAlignment="1">
      <alignment horizontal="center" vertical="center"/>
    </xf>
    <xf numFmtId="164" fontId="11" fillId="5" borderId="0" xfId="3" applyNumberForma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vertical="center"/>
    </xf>
    <xf numFmtId="2" fontId="0" fillId="0" borderId="0" xfId="0" applyNumberFormat="1" applyAlignment="1">
      <alignment horizontal="center"/>
    </xf>
    <xf numFmtId="0" fontId="14" fillId="0" borderId="0" xfId="0" applyFont="1" applyAlignment="1">
      <alignment horizontal="center" vertical="center"/>
    </xf>
    <xf numFmtId="2" fontId="14" fillId="0" borderId="0" xfId="0" applyNumberFormat="1" applyFont="1" applyAlignment="1">
      <alignment horizontal="center"/>
    </xf>
    <xf numFmtId="0" fontId="14" fillId="0" borderId="0" xfId="0" applyFont="1"/>
    <xf numFmtId="0" fontId="2" fillId="0" borderId="0" xfId="1" applyAlignment="1">
      <alignment horizontal="center"/>
    </xf>
    <xf numFmtId="0" fontId="0" fillId="0" borderId="0" xfId="0" applyAlignment="1"/>
    <xf numFmtId="0" fontId="15" fillId="0" borderId="0" xfId="0" applyFont="1" applyAlignment="1">
      <alignment horizontal="center"/>
    </xf>
    <xf numFmtId="2" fontId="15" fillId="0" borderId="0" xfId="0" applyNumberFormat="1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2" fontId="10" fillId="4" borderId="1" xfId="2" applyNumberFormat="1" applyBorder="1" applyAlignment="1">
      <alignment horizontal="center"/>
    </xf>
    <xf numFmtId="2" fontId="10" fillId="4" borderId="8" xfId="2" applyNumberFormat="1" applyBorder="1" applyAlignment="1">
      <alignment horizontal="center"/>
    </xf>
    <xf numFmtId="2" fontId="11" fillId="5" borderId="6" xfId="3" applyNumberFormat="1" applyBorder="1" applyAlignment="1">
      <alignment horizontal="center"/>
    </xf>
    <xf numFmtId="2" fontId="11" fillId="5" borderId="9" xfId="3" applyNumberForma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</cellXfs>
  <cellStyles count="4">
    <cellStyle name="Bueno" xfId="2" builtinId="26"/>
    <cellStyle name="Incorrecto" xfId="3" builtinId="27"/>
    <cellStyle name="Normal" xfId="0" builtinId="0"/>
    <cellStyle name="Normal 2" xfId="1" xr:uid="{00000000-0005-0000-0000-00002F000000}"/>
  </cellStyles>
  <dxfs count="7"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Ejemplo Regresión Gradiente</a:t>
            </a:r>
            <a:r>
              <a:rPr lang="es-ES" baseline="0"/>
              <a:t> Descendente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'Regresión Lineal'!$A$8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'Regresión Lineal'!$A$9:$A$19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'Regresión Lineal'!$B$9:$B$19</c:f>
              <c:numCache>
                <c:formatCode>General</c:formatCode>
                <c:ptCount val="11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  <c:pt idx="1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F8-4326-9E28-9CD21AA3EAD5}"/>
            </c:ext>
          </c:extLst>
        </c:ser>
        <c:ser>
          <c:idx val="1"/>
          <c:order val="1"/>
          <c:tx>
            <c:strRef>
              <c:f>'Regresión Lineal'!$C$8</c:f>
              <c:strCache>
                <c:ptCount val="1"/>
                <c:pt idx="0">
                  <c:v>h(x)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'Regresión Lineal'!$A$9:$A$19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'Regresión Lineal'!$C$9:$C$19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F8-4326-9E28-9CD21AA3E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265615"/>
        <c:axId val="1600970431"/>
      </c:scatterChart>
      <c:valAx>
        <c:axId val="1605265615"/>
        <c:scaling>
          <c:orientation val="minMax"/>
          <c:max val="1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0970431"/>
        <c:crosses val="autoZero"/>
        <c:crossBetween val="midCat"/>
      </c:valAx>
      <c:valAx>
        <c:axId val="160097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5265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Clasificación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'Regresión Logistica'!$A$8:$A$16</c:f>
              <c:numCache>
                <c:formatCode>0.0</c:formatCode>
                <c:ptCount val="9"/>
                <c:pt idx="0">
                  <c:v>2.5</c:v>
                </c:pt>
                <c:pt idx="1">
                  <c:v>1.9</c:v>
                </c:pt>
                <c:pt idx="2">
                  <c:v>3.4</c:v>
                </c:pt>
                <c:pt idx="3">
                  <c:v>2.9</c:v>
                </c:pt>
                <c:pt idx="4">
                  <c:v>3.1</c:v>
                </c:pt>
                <c:pt idx="5">
                  <c:v>3.2</c:v>
                </c:pt>
                <c:pt idx="6">
                  <c:v>3.5</c:v>
                </c:pt>
                <c:pt idx="7">
                  <c:v>2.2000000000000002</c:v>
                </c:pt>
                <c:pt idx="8">
                  <c:v>3.3</c:v>
                </c:pt>
              </c:numCache>
            </c:numRef>
          </c:xVal>
          <c:yVal>
            <c:numRef>
              <c:f>'Regresión Logistica'!$B$8:$B$16</c:f>
              <c:numCache>
                <c:formatCode>0.0</c:formatCode>
                <c:ptCount val="9"/>
                <c:pt idx="0">
                  <c:v>2.5</c:v>
                </c:pt>
                <c:pt idx="1">
                  <c:v>2.9</c:v>
                </c:pt>
                <c:pt idx="2">
                  <c:v>4.4000000000000004</c:v>
                </c:pt>
                <c:pt idx="3">
                  <c:v>3.6</c:v>
                </c:pt>
                <c:pt idx="4">
                  <c:v>3.1</c:v>
                </c:pt>
                <c:pt idx="5">
                  <c:v>2.2000000000000002</c:v>
                </c:pt>
                <c:pt idx="6">
                  <c:v>3.9</c:v>
                </c:pt>
                <c:pt idx="7">
                  <c:v>4.0999999999999996</c:v>
                </c:pt>
                <c:pt idx="8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D8-47E8-ACDB-A60489D2492D}"/>
            </c:ext>
          </c:extLst>
        </c:ser>
        <c:ser>
          <c:idx val="1"/>
          <c:order val="1"/>
          <c:tx>
            <c:v>T1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7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'Regresión Logistica'!$A$17:$A$25</c:f>
              <c:numCache>
                <c:formatCode>0.0</c:formatCode>
                <c:ptCount val="9"/>
                <c:pt idx="0">
                  <c:v>7.5</c:v>
                </c:pt>
                <c:pt idx="1">
                  <c:v>5.7</c:v>
                </c:pt>
                <c:pt idx="2">
                  <c:v>6.9</c:v>
                </c:pt>
                <c:pt idx="3">
                  <c:v>6.7</c:v>
                </c:pt>
                <c:pt idx="4">
                  <c:v>7.7</c:v>
                </c:pt>
                <c:pt idx="5">
                  <c:v>6.9</c:v>
                </c:pt>
                <c:pt idx="6">
                  <c:v>7.2</c:v>
                </c:pt>
                <c:pt idx="7">
                  <c:v>6.5</c:v>
                </c:pt>
                <c:pt idx="8">
                  <c:v>6.1</c:v>
                </c:pt>
              </c:numCache>
            </c:numRef>
          </c:xVal>
          <c:yVal>
            <c:numRef>
              <c:f>'Regresión Logistica'!$B$17:$B$25</c:f>
              <c:numCache>
                <c:formatCode>0.0</c:formatCode>
                <c:ptCount val="9"/>
                <c:pt idx="0">
                  <c:v>2.8</c:v>
                </c:pt>
                <c:pt idx="1">
                  <c:v>2.1</c:v>
                </c:pt>
                <c:pt idx="2">
                  <c:v>1.8</c:v>
                </c:pt>
                <c:pt idx="3">
                  <c:v>3.5</c:v>
                </c:pt>
                <c:pt idx="4">
                  <c:v>3.5</c:v>
                </c:pt>
                <c:pt idx="5">
                  <c:v>2.5</c:v>
                </c:pt>
                <c:pt idx="6">
                  <c:v>3.1</c:v>
                </c:pt>
                <c:pt idx="7">
                  <c:v>1.2</c:v>
                </c:pt>
                <c:pt idx="8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D8-47E8-ACDB-A60489D24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372240"/>
        <c:axId val="1476078656"/>
      </c:scatterChart>
      <c:valAx>
        <c:axId val="139337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6078656"/>
        <c:crosses val="autoZero"/>
        <c:crossBetween val="midCat"/>
      </c:valAx>
      <c:valAx>
        <c:axId val="147607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X2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337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P(Y|X1,X2)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Logistica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'Regresión Logistica'!$I$8:$I$25</c:f>
              <c:numCache>
                <c:formatCode>0.00</c:formatCode>
                <c:ptCount val="18"/>
                <c:pt idx="0">
                  <c:v>-5</c:v>
                </c:pt>
                <c:pt idx="1">
                  <c:v>-4.4117647058823533</c:v>
                </c:pt>
                <c:pt idx="2">
                  <c:v>-3.8235294117647061</c:v>
                </c:pt>
                <c:pt idx="3">
                  <c:v>-3.2352941176470589</c:v>
                </c:pt>
                <c:pt idx="4">
                  <c:v>-2.6470588235294117</c:v>
                </c:pt>
                <c:pt idx="5">
                  <c:v>-2.0588235294117645</c:v>
                </c:pt>
                <c:pt idx="6">
                  <c:v>-1.4705882352941173</c:v>
                </c:pt>
                <c:pt idx="7">
                  <c:v>-0.88235294117647023</c:v>
                </c:pt>
                <c:pt idx="8">
                  <c:v>-0.29411764705882315</c:v>
                </c:pt>
                <c:pt idx="9">
                  <c:v>0.29411764705882393</c:v>
                </c:pt>
                <c:pt idx="10">
                  <c:v>0.88235294117647101</c:v>
                </c:pt>
                <c:pt idx="11">
                  <c:v>1.4705882352941182</c:v>
                </c:pt>
                <c:pt idx="12">
                  <c:v>2.0588235294117654</c:v>
                </c:pt>
                <c:pt idx="13">
                  <c:v>2.6470588235294126</c:v>
                </c:pt>
                <c:pt idx="14">
                  <c:v>3.2352941176470598</c:v>
                </c:pt>
                <c:pt idx="15">
                  <c:v>3.823529411764707</c:v>
                </c:pt>
                <c:pt idx="16">
                  <c:v>4.4117647058823541</c:v>
                </c:pt>
                <c:pt idx="17">
                  <c:v>5.0000000000000009</c:v>
                </c:pt>
              </c:numCache>
            </c:numRef>
          </c:xVal>
          <c:yVal>
            <c:numRef>
              <c:f>'Regresión Logistica'!$J$8:$J$25</c:f>
              <c:numCache>
                <c:formatCode>General</c:formatCode>
                <c:ptCount val="18"/>
                <c:pt idx="0">
                  <c:v>6.6928509242848554E-3</c:v>
                </c:pt>
                <c:pt idx="1">
                  <c:v>1.1988284125125658E-2</c:v>
                </c:pt>
                <c:pt idx="2">
                  <c:v>2.1383308131741104E-2</c:v>
                </c:pt>
                <c:pt idx="3">
                  <c:v>3.7858932961968725E-2</c:v>
                </c:pt>
                <c:pt idx="4">
                  <c:v>6.6170518881513679E-2</c:v>
                </c:pt>
                <c:pt idx="5">
                  <c:v>0.11316384433668743</c:v>
                </c:pt>
                <c:pt idx="6">
                  <c:v>0.18685322156585987</c:v>
                </c:pt>
                <c:pt idx="7">
                  <c:v>0.2926904290746008</c:v>
                </c:pt>
                <c:pt idx="8">
                  <c:v>0.42699609907466224</c:v>
                </c:pt>
                <c:pt idx="9">
                  <c:v>0.57300390092533804</c:v>
                </c:pt>
                <c:pt idx="10">
                  <c:v>0.70730957092539937</c:v>
                </c:pt>
                <c:pt idx="11">
                  <c:v>0.81314677843414029</c:v>
                </c:pt>
                <c:pt idx="12">
                  <c:v>0.88683615566331253</c:v>
                </c:pt>
                <c:pt idx="13">
                  <c:v>0.93382948111848652</c:v>
                </c:pt>
                <c:pt idx="14">
                  <c:v>0.96214106703803126</c:v>
                </c:pt>
                <c:pt idx="15">
                  <c:v>0.97861669186825895</c:v>
                </c:pt>
                <c:pt idx="16">
                  <c:v>0.98801171587487435</c:v>
                </c:pt>
                <c:pt idx="17">
                  <c:v>0.99330714907571527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2-45C0-B736-5576D36C2CAC}"/>
            </c:ext>
          </c:extLst>
        </c:ser>
        <c:ser>
          <c:idx val="0"/>
          <c:order val="1"/>
          <c:tx>
            <c:v>Verdes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'Regresión Logistica'!$D$8:$D$16</c:f>
              <c:numCache>
                <c:formatCode>0.00</c:formatCode>
                <c:ptCount val="9"/>
                <c:pt idx="0">
                  <c:v>3.5</c:v>
                </c:pt>
                <c:pt idx="1">
                  <c:v>3.9</c:v>
                </c:pt>
                <c:pt idx="2">
                  <c:v>5.4</c:v>
                </c:pt>
                <c:pt idx="3">
                  <c:v>4.5999999999999996</c:v>
                </c:pt>
                <c:pt idx="4">
                  <c:v>4.0999999999999996</c:v>
                </c:pt>
                <c:pt idx="5">
                  <c:v>3.2</c:v>
                </c:pt>
                <c:pt idx="6">
                  <c:v>4.9000000000000004</c:v>
                </c:pt>
                <c:pt idx="7">
                  <c:v>5.0999999999999996</c:v>
                </c:pt>
                <c:pt idx="8">
                  <c:v>3.9</c:v>
                </c:pt>
              </c:numCache>
            </c:numRef>
          </c:xVal>
          <c:yVal>
            <c:numRef>
              <c:f>'Regresión Logistica'!$E$8:$E$16</c:f>
              <c:numCache>
                <c:formatCode>General</c:formatCode>
                <c:ptCount val="9"/>
                <c:pt idx="0">
                  <c:v>0.97068776924864364</c:v>
                </c:pt>
                <c:pt idx="1">
                  <c:v>0.98015969426592253</c:v>
                </c:pt>
                <c:pt idx="2">
                  <c:v>0.99550372683905886</c:v>
                </c:pt>
                <c:pt idx="3">
                  <c:v>0.99004819813309575</c:v>
                </c:pt>
                <c:pt idx="4">
                  <c:v>0.9836975006285591</c:v>
                </c:pt>
                <c:pt idx="5">
                  <c:v>0.96083427720323566</c:v>
                </c:pt>
                <c:pt idx="6">
                  <c:v>0.99260845865571812</c:v>
                </c:pt>
                <c:pt idx="7">
                  <c:v>0.99394019850841575</c:v>
                </c:pt>
                <c:pt idx="8">
                  <c:v>0.98015969426592253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12-45C0-B736-5576D36C2CAC}"/>
            </c:ext>
          </c:extLst>
        </c:ser>
        <c:ser>
          <c:idx val="2"/>
          <c:order val="2"/>
          <c:tx>
            <c:v>Rojos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'Regresión Logistica'!$D$17:$D$25</c:f>
              <c:numCache>
                <c:formatCode>0.00</c:formatCode>
                <c:ptCount val="9"/>
                <c:pt idx="0">
                  <c:v>3.8</c:v>
                </c:pt>
                <c:pt idx="1">
                  <c:v>3.1</c:v>
                </c:pt>
                <c:pt idx="2">
                  <c:v>2.8</c:v>
                </c:pt>
                <c:pt idx="3">
                  <c:v>4.5</c:v>
                </c:pt>
                <c:pt idx="4">
                  <c:v>4.5</c:v>
                </c:pt>
                <c:pt idx="5">
                  <c:v>3.5</c:v>
                </c:pt>
                <c:pt idx="6">
                  <c:v>4.0999999999999996</c:v>
                </c:pt>
                <c:pt idx="7">
                  <c:v>2.2000000000000002</c:v>
                </c:pt>
                <c:pt idx="8">
                  <c:v>3.2</c:v>
                </c:pt>
              </c:numCache>
            </c:numRef>
          </c:xVal>
          <c:yVal>
            <c:numRef>
              <c:f>'Regresión Logistica'!$E$17:$E$25</c:f>
              <c:numCache>
                <c:formatCode>General</c:formatCode>
                <c:ptCount val="9"/>
                <c:pt idx="0">
                  <c:v>0.97811872906386943</c:v>
                </c:pt>
                <c:pt idx="1">
                  <c:v>0.95689274505891386</c:v>
                </c:pt>
                <c:pt idx="2">
                  <c:v>0.94267582410113127</c:v>
                </c:pt>
                <c:pt idx="3">
                  <c:v>0.98901305736940681</c:v>
                </c:pt>
                <c:pt idx="4">
                  <c:v>0.98901305736940681</c:v>
                </c:pt>
                <c:pt idx="5">
                  <c:v>0.97068776924864364</c:v>
                </c:pt>
                <c:pt idx="6">
                  <c:v>0.9836975006285591</c:v>
                </c:pt>
                <c:pt idx="7">
                  <c:v>0.9002495108803148</c:v>
                </c:pt>
                <c:pt idx="8">
                  <c:v>0.96083427720323566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12-45C0-B736-5576D36C2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864592"/>
        <c:axId val="1484609632"/>
      </c:scatterChart>
      <c:valAx>
        <c:axId val="147186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4609632"/>
        <c:crosses val="autoZero"/>
        <c:crossBetween val="midCat"/>
      </c:valAx>
      <c:valAx>
        <c:axId val="1484609632"/>
        <c:scaling>
          <c:orientation val="minMax"/>
          <c:max val="1.100000000000000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1864592"/>
        <c:crosses val="autoZero"/>
        <c:crossBetween val="midCat"/>
        <c:min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Clustering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'K-Means'!$A$22:$A$39</c:f>
              <c:numCache>
                <c:formatCode>0.00</c:formatCode>
                <c:ptCount val="18"/>
                <c:pt idx="0">
                  <c:v>0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xVal>
          <c:yVal>
            <c:numRef>
              <c:f>'K-Means'!$B$22:$B$39</c:f>
              <c:numCache>
                <c:formatCode>0.00</c:formatCode>
                <c:ptCount val="18"/>
                <c:pt idx="0">
                  <c:v>0</c:v>
                </c:pt>
                <c:pt idx="1">
                  <c:v>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E-49B9-AD72-A58D8A7684B1}"/>
            </c:ext>
          </c:extLst>
        </c:ser>
        <c:ser>
          <c:idx val="1"/>
          <c:order val="1"/>
          <c:tx>
            <c:v>Centroide_1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rgbClr val="00B05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'K-Means'!$H$6</c:f>
              <c:numCache>
                <c:formatCode>0.00</c:formatCode>
                <c:ptCount val="1"/>
                <c:pt idx="0">
                  <c:v>2</c:v>
                </c:pt>
              </c:numCache>
            </c:numRef>
          </c:xVal>
          <c:yVal>
            <c:numRef>
              <c:f>'K-Means'!$H$7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8E-49B9-AD72-A58D8A7684B1}"/>
            </c:ext>
          </c:extLst>
        </c:ser>
        <c:ser>
          <c:idx val="2"/>
          <c:order val="2"/>
          <c:tx>
            <c:v>Centroide_2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'K-Means'!$I$6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'K-Means'!$I$7</c:f>
              <c:numCache>
                <c:formatCode>0.00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8E-49B9-AD72-A58D8A7684B1}"/>
            </c:ext>
          </c:extLst>
        </c:ser>
        <c:ser>
          <c:idx val="3"/>
          <c:order val="3"/>
          <c:tx>
            <c:v>C2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'K-Means'!$C$22:$C$39</c:f>
              <c:numCache>
                <c:formatCode>0.00</c:formatCode>
                <c:ptCount val="18"/>
                <c:pt idx="0">
                  <c:v>2.5</c:v>
                </c:pt>
                <c:pt idx="1">
                  <c:v>0</c:v>
                </c:pt>
                <c:pt idx="2">
                  <c:v>3.4</c:v>
                </c:pt>
                <c:pt idx="3">
                  <c:v>2.9</c:v>
                </c:pt>
                <c:pt idx="4">
                  <c:v>3.1</c:v>
                </c:pt>
                <c:pt idx="5">
                  <c:v>3.2</c:v>
                </c:pt>
                <c:pt idx="6">
                  <c:v>3.5</c:v>
                </c:pt>
                <c:pt idx="7">
                  <c:v>2.2000000000000002</c:v>
                </c:pt>
                <c:pt idx="8">
                  <c:v>3.3</c:v>
                </c:pt>
                <c:pt idx="9">
                  <c:v>7.5</c:v>
                </c:pt>
                <c:pt idx="10">
                  <c:v>5.7</c:v>
                </c:pt>
                <c:pt idx="11">
                  <c:v>6.9</c:v>
                </c:pt>
                <c:pt idx="12">
                  <c:v>6.7</c:v>
                </c:pt>
                <c:pt idx="13">
                  <c:v>7.7</c:v>
                </c:pt>
                <c:pt idx="14">
                  <c:v>6.9</c:v>
                </c:pt>
                <c:pt idx="15">
                  <c:v>7.2</c:v>
                </c:pt>
                <c:pt idx="16">
                  <c:v>6.5</c:v>
                </c:pt>
                <c:pt idx="17">
                  <c:v>6.1</c:v>
                </c:pt>
              </c:numCache>
            </c:numRef>
          </c:xVal>
          <c:yVal>
            <c:numRef>
              <c:f>'K-Means'!$D$22:$D$39</c:f>
              <c:numCache>
                <c:formatCode>0.00</c:formatCode>
                <c:ptCount val="18"/>
                <c:pt idx="0">
                  <c:v>2.5</c:v>
                </c:pt>
                <c:pt idx="1">
                  <c:v>0</c:v>
                </c:pt>
                <c:pt idx="2">
                  <c:v>4.4000000000000004</c:v>
                </c:pt>
                <c:pt idx="3">
                  <c:v>3.6</c:v>
                </c:pt>
                <c:pt idx="4">
                  <c:v>3.1</c:v>
                </c:pt>
                <c:pt idx="5">
                  <c:v>2.2000000000000002</c:v>
                </c:pt>
                <c:pt idx="6">
                  <c:v>3.9</c:v>
                </c:pt>
                <c:pt idx="7">
                  <c:v>4.0999999999999996</c:v>
                </c:pt>
                <c:pt idx="8">
                  <c:v>2.9</c:v>
                </c:pt>
                <c:pt idx="9">
                  <c:v>2.8</c:v>
                </c:pt>
                <c:pt idx="10">
                  <c:v>2.1</c:v>
                </c:pt>
                <c:pt idx="11">
                  <c:v>1.8</c:v>
                </c:pt>
                <c:pt idx="12">
                  <c:v>3.5</c:v>
                </c:pt>
                <c:pt idx="13">
                  <c:v>3.5</c:v>
                </c:pt>
                <c:pt idx="14">
                  <c:v>2.5</c:v>
                </c:pt>
                <c:pt idx="15">
                  <c:v>3.1</c:v>
                </c:pt>
                <c:pt idx="16">
                  <c:v>1.2</c:v>
                </c:pt>
                <c:pt idx="17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8E-49B9-AD72-A58D8A768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188784"/>
        <c:axId val="1743950176"/>
      </c:scatterChart>
      <c:valAx>
        <c:axId val="669188784"/>
        <c:scaling>
          <c:orientation val="minMax"/>
          <c:max val="8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3950176"/>
        <c:crosses val="autoZero"/>
        <c:crossBetween val="midCat"/>
      </c:valAx>
      <c:valAx>
        <c:axId val="1743950176"/>
        <c:scaling>
          <c:orientation val="minMax"/>
          <c:max val="4.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X2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918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333375</xdr:colOff>
      <xdr:row>20</xdr:row>
      <xdr:rowOff>42862</xdr:rowOff>
    </xdr:from>
    <xdr:ext cx="3954352" cy="479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333375" y="4424362"/>
              <a:ext cx="3954352" cy="479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𝐸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)=</m:t>
                    </m:r>
                    <m:f>
                      <m:fPr>
                        <m:ctrlPr>
                          <a:rPr lang="es-E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E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s-E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den>
                    </m:f>
                    <m:r>
                      <a:rPr lang="es-ES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E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E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s-E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s-E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sSup>
                          <m:sSupPr>
                            <m:ctrlPr>
                              <a:rPr lang="es-E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E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s-E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h</m:t>
                                </m:r>
                                <m:d>
                                  <m:dPr>
                                    <m:ctrlPr>
                                      <a:rPr lang="es-E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sSup>
                                      <m:sSupPr>
                                        <m:ctrlPr>
                                          <a:rPr lang="es-E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s-E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p>
                                        <m: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(</m:t>
                                        </m:r>
                                        <m:r>
                                          <a:rPr lang="es-E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  <m: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)</m:t>
                                        </m:r>
                                      </m:sup>
                                    </m:sSup>
                                  </m:e>
                                </m:d>
                                <m:r>
                                  <a:rPr lang="es-E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 </m:t>
                                </m:r>
                                <m:sSup>
                                  <m:sSupPr>
                                    <m:ctrlPr>
                                      <a:rPr lang="es-E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E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𝑦</m:t>
                                    </m:r>
                                  </m:e>
                                  <m:sup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lang="es-E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)</m:t>
                                    </m:r>
                                  </m:sup>
                                </m:sSup>
                              </m:e>
                            </m:d>
                          </m:e>
                          <m:sup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</m:t>
                        </m:r>
                        <m:f>
                          <m:fPr>
                            <m:ctrlPr>
                              <a:rPr lang="es-E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E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  <m:r>
                              <a:rPr lang="es-E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</m:t>
                            </m:r>
                          </m:den>
                        </m:f>
                        <m:r>
                          <a:rPr lang="es-E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nary>
                          <m:naryPr>
                            <m:chr m:val="∑"/>
                            <m:ctrlPr>
                              <a:rPr lang="es-E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s-E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s-E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s-E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</m:t>
                            </m:r>
                          </m:sup>
                          <m:e>
                            <m:sSup>
                              <m:sSupPr>
                                <m:ctrlPr>
                                  <a:rPr lang="es-E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s-E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  <m:sSup>
                                      <m:sSupPr>
                                        <m:ctrlPr>
                                          <a:rPr lang="es-E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s-E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p>
                                        <m: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(</m:t>
                                        </m:r>
                                        <m:r>
                                          <a:rPr lang="es-E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  <m: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)</m:t>
                                        </m:r>
                                      </m:sup>
                                    </m:sSup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𝑏</m:t>
                                    </m:r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)− </m:t>
                                    </m:r>
                                    <m:sSup>
                                      <m:sSupPr>
                                        <m:ctrlPr>
                                          <a:rPr lang="es-E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s-E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p>
                                        <m: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(</m:t>
                                        </m:r>
                                        <m:r>
                                          <a:rPr lang="es-E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  <m:r>
                                          <a:rPr lang="es-E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)</m:t>
                                        </m:r>
                                      </m:sup>
                                    </m:sSup>
                                  </m:e>
                                </m:d>
                              </m:e>
                              <m:sup>
                                <m:r>
                                  <a:rPr lang="es-E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e>
                        </m:nary>
                      </m:e>
                    </m:nary>
                  </m:oMath>
                </m:oMathPara>
              </a14:m>
              <a:endParaRPr lang="es-ES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F877E493-2558-4265-AE8C-40D20F52372E}"/>
                </a:ext>
              </a:extLst>
            </xdr:cNvPr>
            <xdr:cNvSpPr txBox="1"/>
          </xdr:nvSpPr>
          <xdr:spPr>
            <a:xfrm>
              <a:off x="333375" y="4424362"/>
              <a:ext cx="3954352" cy="479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𝐸(𝑎,𝑏)=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1/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𝑁  ∑_(𝑖=1)^𝑁▒〖(ℎ(𝑥^(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)) )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 𝑦^(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)) )^2=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1/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𝑁  ∑_(𝑖=1)^𝑁▒(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(𝑎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𝑥^(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))+𝑏)− 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𝑦^(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)) )^</a:t>
              </a:r>
              <a:r>
                <a:rPr lang="es-E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 〗</a:t>
              </a:r>
              <a:endParaRPr lang="es-ES" sz="1100"/>
            </a:p>
          </xdr:txBody>
        </xdr:sp>
      </mc:Fallback>
    </mc:AlternateContent>
    <xdr:clientData/>
  </xdr:oneCellAnchor>
  <xdr:twoCellAnchor>
    <xdr:from>
      <xdr:col>7</xdr:col>
      <xdr:colOff>23812</xdr:colOff>
      <xdr:row>6</xdr:row>
      <xdr:rowOff>9524</xdr:rowOff>
    </xdr:from>
    <xdr:to>
      <xdr:col>15</xdr:col>
      <xdr:colOff>19050</xdr:colOff>
      <xdr:row>26</xdr:row>
      <xdr:rowOff>190499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</xdr:row>
          <xdr:rowOff>177800</xdr:rowOff>
        </xdr:from>
        <xdr:to>
          <xdr:col>7</xdr:col>
          <xdr:colOff>12700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EPOCH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9524</xdr:colOff>
      <xdr:row>2</xdr:row>
      <xdr:rowOff>23811</xdr:rowOff>
    </xdr:from>
    <xdr:to>
      <xdr:col>16</xdr:col>
      <xdr:colOff>752475</xdr:colOff>
      <xdr:row>17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2</xdr:row>
          <xdr:rowOff>12700</xdr:rowOff>
        </xdr:from>
        <xdr:to>
          <xdr:col>8</xdr:col>
          <xdr:colOff>749300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_tradnl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EPOCH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28575</xdr:colOff>
      <xdr:row>17</xdr:row>
      <xdr:rowOff>180975</xdr:rowOff>
    </xdr:from>
    <xdr:to>
      <xdr:col>17</xdr:col>
      <xdr:colOff>19050</xdr:colOff>
      <xdr:row>32</xdr:row>
      <xdr:rowOff>166688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14</xdr:row>
          <xdr:rowOff>177800</xdr:rowOff>
        </xdr:from>
        <xdr:to>
          <xdr:col>8</xdr:col>
          <xdr:colOff>749300</xdr:colOff>
          <xdr:row>18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EPOCH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23811</xdr:colOff>
      <xdr:row>1</xdr:row>
      <xdr:rowOff>176212</xdr:rowOff>
    </xdr:from>
    <xdr:to>
      <xdr:col>15</xdr:col>
      <xdr:colOff>752474</xdr:colOff>
      <xdr:row>19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086E8-6C73-4265-A9DC-C9E8A37D4C4C}">
  <sheetPr codeName="Hoja2"/>
  <dimension ref="A2:G23"/>
  <sheetViews>
    <sheetView tabSelected="1" workbookViewId="0">
      <selection activeCell="C6" sqref="C6"/>
    </sheetView>
  </sheetViews>
  <sheetFormatPr baseColWidth="10" defaultRowHeight="15" x14ac:dyDescent="0.2"/>
  <cols>
    <col min="3" max="3" width="14.1640625" customWidth="1"/>
    <col min="5" max="5" width="12" bestFit="1" customWidth="1"/>
    <col min="6" max="6" width="11.83203125" bestFit="1" customWidth="1"/>
  </cols>
  <sheetData>
    <row r="2" spans="1:7" ht="19" x14ac:dyDescent="0.25">
      <c r="C2" s="7" t="s">
        <v>8</v>
      </c>
      <c r="D2" s="7"/>
    </row>
    <row r="3" spans="1:7" ht="19" x14ac:dyDescent="0.25">
      <c r="C3" s="7" t="s">
        <v>5</v>
      </c>
      <c r="D3" s="7" t="s">
        <v>6</v>
      </c>
      <c r="E3" s="7" t="s">
        <v>0</v>
      </c>
    </row>
    <row r="4" spans="1:7" x14ac:dyDescent="0.2">
      <c r="B4" s="14" t="s">
        <v>12</v>
      </c>
      <c r="C4" s="14">
        <v>3</v>
      </c>
      <c r="D4" s="14">
        <v>2</v>
      </c>
      <c r="E4" s="8">
        <v>0.01</v>
      </c>
    </row>
    <row r="5" spans="1:7" x14ac:dyDescent="0.2">
      <c r="B5" s="8" t="s">
        <v>9</v>
      </c>
      <c r="C5" s="8">
        <v>0</v>
      </c>
      <c r="D5" s="8">
        <v>1</v>
      </c>
      <c r="E5" s="8"/>
    </row>
    <row r="6" spans="1:7" x14ac:dyDescent="0.2">
      <c r="B6" s="8" t="s">
        <v>10</v>
      </c>
      <c r="C6" s="12">
        <f>C5-(((E4/COUNT(A9:A19))*SUM(E10:E19)))</f>
        <v>1.1000000000000001</v>
      </c>
      <c r="D6" s="13">
        <f>C5-(((E4/COUNT(A9:A19))*SUM(F10:F19)))</f>
        <v>0.15909090909090909</v>
      </c>
      <c r="E6" s="3"/>
    </row>
    <row r="8" spans="1:7" x14ac:dyDescent="0.2">
      <c r="A8" s="2" t="s">
        <v>1</v>
      </c>
      <c r="B8" s="2" t="s">
        <v>2</v>
      </c>
      <c r="C8" s="2" t="s">
        <v>3</v>
      </c>
      <c r="D8" s="2" t="s">
        <v>4</v>
      </c>
      <c r="E8" s="4" t="s">
        <v>11</v>
      </c>
      <c r="F8" s="5" t="s">
        <v>4</v>
      </c>
      <c r="G8" s="1"/>
    </row>
    <row r="9" spans="1:7" x14ac:dyDescent="0.2">
      <c r="A9" s="3">
        <v>0</v>
      </c>
      <c r="B9" s="3">
        <f t="shared" ref="B9:B19" si="0">($C$4*A9)+$D$4</f>
        <v>2</v>
      </c>
      <c r="C9" s="3">
        <f>($C$5*A9)+$D$5</f>
        <v>1</v>
      </c>
      <c r="D9" s="3">
        <f>C9-B9</f>
        <v>-1</v>
      </c>
      <c r="E9" s="4">
        <f>D9*A9</f>
        <v>0</v>
      </c>
      <c r="F9" s="6">
        <f>D9</f>
        <v>-1</v>
      </c>
      <c r="G9" s="1"/>
    </row>
    <row r="10" spans="1:7" x14ac:dyDescent="0.2">
      <c r="A10" s="2">
        <v>1</v>
      </c>
      <c r="B10" s="3">
        <f t="shared" si="0"/>
        <v>5</v>
      </c>
      <c r="C10" s="3">
        <f t="shared" ref="C10:C19" si="1">($C$5*A10)+$D$5</f>
        <v>1</v>
      </c>
      <c r="D10" s="2">
        <f>C10-B10</f>
        <v>-4</v>
      </c>
      <c r="E10" s="4">
        <f>D10*A10</f>
        <v>-4</v>
      </c>
      <c r="F10" s="6">
        <f>D10</f>
        <v>-4</v>
      </c>
    </row>
    <row r="11" spans="1:7" x14ac:dyDescent="0.2">
      <c r="A11" s="2">
        <v>2</v>
      </c>
      <c r="B11" s="3">
        <f t="shared" si="0"/>
        <v>8</v>
      </c>
      <c r="C11" s="3">
        <f t="shared" si="1"/>
        <v>1</v>
      </c>
      <c r="D11" s="2">
        <f t="shared" ref="D11:D19" si="2">C11-B11</f>
        <v>-7</v>
      </c>
      <c r="E11" s="4">
        <f t="shared" ref="E11:E19" si="3">D11*A11</f>
        <v>-14</v>
      </c>
      <c r="F11" s="6">
        <f t="shared" ref="F11:F19" si="4">D11</f>
        <v>-7</v>
      </c>
    </row>
    <row r="12" spans="1:7" x14ac:dyDescent="0.2">
      <c r="A12" s="2">
        <v>3</v>
      </c>
      <c r="B12" s="3">
        <f t="shared" si="0"/>
        <v>11</v>
      </c>
      <c r="C12" s="3">
        <f t="shared" si="1"/>
        <v>1</v>
      </c>
      <c r="D12" s="2">
        <f t="shared" si="2"/>
        <v>-10</v>
      </c>
      <c r="E12" s="4">
        <f t="shared" si="3"/>
        <v>-30</v>
      </c>
      <c r="F12" s="6">
        <f t="shared" si="4"/>
        <v>-10</v>
      </c>
    </row>
    <row r="13" spans="1:7" x14ac:dyDescent="0.2">
      <c r="A13" s="2">
        <v>4</v>
      </c>
      <c r="B13" s="3">
        <f t="shared" si="0"/>
        <v>14</v>
      </c>
      <c r="C13" s="3">
        <f t="shared" si="1"/>
        <v>1</v>
      </c>
      <c r="D13" s="2">
        <f t="shared" si="2"/>
        <v>-13</v>
      </c>
      <c r="E13" s="4">
        <f t="shared" si="3"/>
        <v>-52</v>
      </c>
      <c r="F13" s="6">
        <f t="shared" si="4"/>
        <v>-13</v>
      </c>
    </row>
    <row r="14" spans="1:7" x14ac:dyDescent="0.2">
      <c r="A14" s="2">
        <v>5</v>
      </c>
      <c r="B14" s="3">
        <f t="shared" si="0"/>
        <v>17</v>
      </c>
      <c r="C14" s="3">
        <f t="shared" si="1"/>
        <v>1</v>
      </c>
      <c r="D14" s="2">
        <f t="shared" si="2"/>
        <v>-16</v>
      </c>
      <c r="E14" s="4">
        <f t="shared" si="3"/>
        <v>-80</v>
      </c>
      <c r="F14" s="6">
        <f t="shared" si="4"/>
        <v>-16</v>
      </c>
    </row>
    <row r="15" spans="1:7" x14ac:dyDescent="0.2">
      <c r="A15" s="2">
        <v>6</v>
      </c>
      <c r="B15" s="3">
        <f t="shared" si="0"/>
        <v>20</v>
      </c>
      <c r="C15" s="3">
        <f t="shared" si="1"/>
        <v>1</v>
      </c>
      <c r="D15" s="2">
        <f t="shared" si="2"/>
        <v>-19</v>
      </c>
      <c r="E15" s="4">
        <f t="shared" si="3"/>
        <v>-114</v>
      </c>
      <c r="F15" s="6">
        <f t="shared" si="4"/>
        <v>-19</v>
      </c>
    </row>
    <row r="16" spans="1:7" x14ac:dyDescent="0.2">
      <c r="A16" s="2">
        <v>7</v>
      </c>
      <c r="B16" s="3">
        <f t="shared" si="0"/>
        <v>23</v>
      </c>
      <c r="C16" s="3">
        <f t="shared" si="1"/>
        <v>1</v>
      </c>
      <c r="D16" s="2">
        <f t="shared" si="2"/>
        <v>-22</v>
      </c>
      <c r="E16" s="4">
        <f t="shared" si="3"/>
        <v>-154</v>
      </c>
      <c r="F16" s="6">
        <f t="shared" si="4"/>
        <v>-22</v>
      </c>
    </row>
    <row r="17" spans="1:6" x14ac:dyDescent="0.2">
      <c r="A17" s="2">
        <v>8</v>
      </c>
      <c r="B17" s="3">
        <f t="shared" si="0"/>
        <v>26</v>
      </c>
      <c r="C17" s="3">
        <f t="shared" si="1"/>
        <v>1</v>
      </c>
      <c r="D17" s="2">
        <f t="shared" si="2"/>
        <v>-25</v>
      </c>
      <c r="E17" s="4">
        <f t="shared" si="3"/>
        <v>-200</v>
      </c>
      <c r="F17" s="6">
        <f t="shared" si="4"/>
        <v>-25</v>
      </c>
    </row>
    <row r="18" spans="1:6" x14ac:dyDescent="0.2">
      <c r="A18" s="2">
        <v>9</v>
      </c>
      <c r="B18" s="3">
        <f t="shared" si="0"/>
        <v>29</v>
      </c>
      <c r="C18" s="3">
        <f t="shared" si="1"/>
        <v>1</v>
      </c>
      <c r="D18" s="2">
        <f t="shared" si="2"/>
        <v>-28</v>
      </c>
      <c r="E18" s="4">
        <f t="shared" si="3"/>
        <v>-252</v>
      </c>
      <c r="F18" s="6">
        <f t="shared" si="4"/>
        <v>-28</v>
      </c>
    </row>
    <row r="19" spans="1:6" x14ac:dyDescent="0.2">
      <c r="A19" s="2">
        <v>10</v>
      </c>
      <c r="B19" s="3">
        <f t="shared" si="0"/>
        <v>32</v>
      </c>
      <c r="C19" s="3">
        <f t="shared" si="1"/>
        <v>1</v>
      </c>
      <c r="D19" s="2">
        <f t="shared" si="2"/>
        <v>-31</v>
      </c>
      <c r="E19" s="4">
        <f t="shared" si="3"/>
        <v>-310</v>
      </c>
      <c r="F19" s="6">
        <f t="shared" si="4"/>
        <v>-31</v>
      </c>
    </row>
    <row r="20" spans="1:6" ht="27" customHeight="1" x14ac:dyDescent="0.2">
      <c r="A20" s="47" t="s">
        <v>7</v>
      </c>
      <c r="B20" s="47"/>
      <c r="C20" s="47"/>
      <c r="D20" s="9">
        <f>(1/(2*COUNT(D10:D19)))*SUMSQ(D10:D19)</f>
        <v>190.25</v>
      </c>
      <c r="E20" s="10"/>
      <c r="F20" s="11"/>
    </row>
    <row r="21" spans="1:6" x14ac:dyDescent="0.2">
      <c r="A21" s="48"/>
      <c r="B21" s="48"/>
      <c r="C21" s="48"/>
      <c r="D21" s="48"/>
      <c r="E21" s="48"/>
      <c r="F21" s="48"/>
    </row>
    <row r="22" spans="1:6" x14ac:dyDescent="0.2">
      <c r="A22" s="48"/>
      <c r="B22" s="48"/>
      <c r="C22" s="48"/>
      <c r="D22" s="48"/>
      <c r="E22" s="48"/>
      <c r="F22" s="48"/>
    </row>
    <row r="23" spans="1:6" x14ac:dyDescent="0.2">
      <c r="A23" s="48"/>
      <c r="B23" s="48"/>
      <c r="C23" s="48"/>
      <c r="D23" s="48"/>
      <c r="E23" s="48"/>
      <c r="F23" s="48"/>
    </row>
  </sheetData>
  <mergeCells count="2">
    <mergeCell ref="A20:C20"/>
    <mergeCell ref="A21:F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poch_r_Lineal">
                <anchor moveWithCells="1" sizeWithCells="1">
                  <from>
                    <xdr:col>5</xdr:col>
                    <xdr:colOff>25400</xdr:colOff>
                    <xdr:row>1</xdr:row>
                    <xdr:rowOff>177800</xdr:rowOff>
                  </from>
                  <to>
                    <xdr:col>7</xdr:col>
                    <xdr:colOff>12700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A18E1-3CC5-44EE-A55F-9C0DFBED1F17}">
  <sheetPr codeName="Hoja3"/>
  <dimension ref="A2:J27"/>
  <sheetViews>
    <sheetView workbookViewId="0">
      <selection activeCell="C5" sqref="C5"/>
    </sheetView>
  </sheetViews>
  <sheetFormatPr baseColWidth="10" defaultRowHeight="15" x14ac:dyDescent="0.2"/>
  <cols>
    <col min="1" max="1" width="12.33203125" bestFit="1" customWidth="1"/>
    <col min="2" max="2" width="11.5" bestFit="1" customWidth="1"/>
    <col min="3" max="3" width="11.83203125" bestFit="1" customWidth="1"/>
  </cols>
  <sheetData>
    <row r="2" spans="1:10" ht="16" x14ac:dyDescent="0.2">
      <c r="C2" s="49" t="s">
        <v>19</v>
      </c>
      <c r="D2" s="49"/>
    </row>
    <row r="3" spans="1:10" ht="19" x14ac:dyDescent="0.25">
      <c r="C3" s="25" t="s">
        <v>20</v>
      </c>
      <c r="D3" s="25" t="s">
        <v>21</v>
      </c>
      <c r="E3" s="25" t="s">
        <v>22</v>
      </c>
      <c r="F3" s="7" t="s">
        <v>0</v>
      </c>
    </row>
    <row r="4" spans="1:10" x14ac:dyDescent="0.2">
      <c r="B4" s="8" t="s">
        <v>9</v>
      </c>
      <c r="C4" s="8">
        <v>1</v>
      </c>
      <c r="D4" s="8">
        <v>0</v>
      </c>
      <c r="E4" s="8">
        <v>1</v>
      </c>
      <c r="F4" s="8">
        <v>0.1</v>
      </c>
    </row>
    <row r="5" spans="1:10" x14ac:dyDescent="0.2">
      <c r="B5" s="8" t="s">
        <v>10</v>
      </c>
      <c r="C5" s="12">
        <f>C4-(F4*(1/COUNT(A8:A25))*SUM(F8:F25))</f>
        <v>0.95267321117404413</v>
      </c>
      <c r="D5" s="13">
        <f>D4-(F4*(1/COUNT(A8:A25))*SUM(G8:G25))</f>
        <v>-0.12996578395217079</v>
      </c>
      <c r="E5" s="22">
        <f>E4-(F4*(1/COUNT(A8:A25))*SUM(H8:H25))</f>
        <v>0.84164392991879722</v>
      </c>
    </row>
    <row r="7" spans="1:10" x14ac:dyDescent="0.2">
      <c r="A7" s="8" t="s">
        <v>14</v>
      </c>
      <c r="B7" s="8" t="s">
        <v>15</v>
      </c>
      <c r="C7" s="8" t="s">
        <v>2</v>
      </c>
      <c r="D7" s="8" t="s">
        <v>23</v>
      </c>
      <c r="E7" s="8" t="s">
        <v>18</v>
      </c>
      <c r="F7" s="18" t="s">
        <v>13</v>
      </c>
      <c r="G7" s="20" t="s">
        <v>16</v>
      </c>
      <c r="H7" s="23" t="s">
        <v>17</v>
      </c>
      <c r="I7" s="31" t="s">
        <v>24</v>
      </c>
      <c r="J7" s="33"/>
    </row>
    <row r="8" spans="1:10" x14ac:dyDescent="0.2">
      <c r="A8" s="26">
        <v>2.5</v>
      </c>
      <c r="B8" s="26">
        <v>2.5</v>
      </c>
      <c r="C8" s="16">
        <v>0</v>
      </c>
      <c r="D8" s="15">
        <f>$C$4+($D$4*A8)+($E$4*B8)</f>
        <v>3.5</v>
      </c>
      <c r="E8">
        <f>1/(1+EXP(-D8))</f>
        <v>0.97068776924864364</v>
      </c>
      <c r="F8" s="19">
        <f>E8-C8</f>
        <v>0.97068776924864364</v>
      </c>
      <c r="G8" s="21">
        <f>(E8-C8)*A8</f>
        <v>2.4267194231216092</v>
      </c>
      <c r="H8" s="24">
        <f>(E8-C8)*B8</f>
        <v>2.4267194231216092</v>
      </c>
      <c r="I8" s="32">
        <v>-5</v>
      </c>
      <c r="J8" s="33">
        <f>1/(1+EXP(-I8))</f>
        <v>6.6928509242848554E-3</v>
      </c>
    </row>
    <row r="9" spans="1:10" x14ac:dyDescent="0.2">
      <c r="A9" s="26">
        <v>1.9</v>
      </c>
      <c r="B9" s="26">
        <v>2.9</v>
      </c>
      <c r="C9" s="16">
        <v>0</v>
      </c>
      <c r="D9" s="15">
        <f t="shared" ref="D9:D25" si="0">$C$4+($D$4*A9)+($E$4*B9)</f>
        <v>3.9</v>
      </c>
      <c r="E9">
        <f t="shared" ref="E9:E25" si="1">1/(1+EXP(-D9))</f>
        <v>0.98015969426592253</v>
      </c>
      <c r="F9" s="19">
        <f t="shared" ref="F9:F25" si="2">E9-C9</f>
        <v>0.98015969426592253</v>
      </c>
      <c r="G9" s="21">
        <f t="shared" ref="G9:G25" si="3">(E9-C9)*A9</f>
        <v>1.8623034191052528</v>
      </c>
      <c r="H9" s="24">
        <f t="shared" ref="H9:H25" si="4">(E9-C9)*B9</f>
        <v>2.8424631133711751</v>
      </c>
      <c r="I9" s="32">
        <f>I8+(10/17)</f>
        <v>-4.4117647058823533</v>
      </c>
      <c r="J9" s="33">
        <f t="shared" ref="J9:J25" si="5">1/(1+EXP(-I9))</f>
        <v>1.1988284125125658E-2</v>
      </c>
    </row>
    <row r="10" spans="1:10" x14ac:dyDescent="0.2">
      <c r="A10" s="26">
        <v>3.4</v>
      </c>
      <c r="B10" s="26">
        <v>4.4000000000000004</v>
      </c>
      <c r="C10" s="16">
        <v>0</v>
      </c>
      <c r="D10" s="15">
        <f t="shared" si="0"/>
        <v>5.4</v>
      </c>
      <c r="E10">
        <f t="shared" si="1"/>
        <v>0.99550372683905886</v>
      </c>
      <c r="F10" s="19">
        <f t="shared" si="2"/>
        <v>0.99550372683905886</v>
      </c>
      <c r="G10" s="21">
        <f t="shared" si="3"/>
        <v>3.3847126712528</v>
      </c>
      <c r="H10" s="24">
        <f t="shared" si="4"/>
        <v>4.3802163980918589</v>
      </c>
      <c r="I10" s="32">
        <f t="shared" ref="I10:I25" si="6">I9+(10/17)</f>
        <v>-3.8235294117647061</v>
      </c>
      <c r="J10" s="33">
        <f t="shared" si="5"/>
        <v>2.1383308131741104E-2</v>
      </c>
    </row>
    <row r="11" spans="1:10" x14ac:dyDescent="0.2">
      <c r="A11" s="26">
        <v>2.9</v>
      </c>
      <c r="B11" s="26">
        <v>3.6</v>
      </c>
      <c r="C11" s="16">
        <v>0</v>
      </c>
      <c r="D11" s="15">
        <f t="shared" si="0"/>
        <v>4.5999999999999996</v>
      </c>
      <c r="E11">
        <f t="shared" si="1"/>
        <v>0.99004819813309575</v>
      </c>
      <c r="F11" s="19">
        <f t="shared" si="2"/>
        <v>0.99004819813309575</v>
      </c>
      <c r="G11" s="21">
        <f t="shared" si="3"/>
        <v>2.8711397745859775</v>
      </c>
      <c r="H11" s="24">
        <f t="shared" si="4"/>
        <v>3.5641735132791448</v>
      </c>
      <c r="I11" s="32">
        <f t="shared" si="6"/>
        <v>-3.2352941176470589</v>
      </c>
      <c r="J11" s="33">
        <f t="shared" si="5"/>
        <v>3.7858932961968725E-2</v>
      </c>
    </row>
    <row r="12" spans="1:10" x14ac:dyDescent="0.2">
      <c r="A12" s="26">
        <v>3.1</v>
      </c>
      <c r="B12" s="26">
        <v>3.1</v>
      </c>
      <c r="C12" s="16">
        <v>0</v>
      </c>
      <c r="D12" s="15">
        <f t="shared" si="0"/>
        <v>4.0999999999999996</v>
      </c>
      <c r="E12">
        <f t="shared" si="1"/>
        <v>0.9836975006285591</v>
      </c>
      <c r="F12" s="19">
        <f t="shared" si="2"/>
        <v>0.9836975006285591</v>
      </c>
      <c r="G12" s="21">
        <f t="shared" si="3"/>
        <v>3.0494622519485333</v>
      </c>
      <c r="H12" s="24">
        <f t="shared" si="4"/>
        <v>3.0494622519485333</v>
      </c>
      <c r="I12" s="32">
        <f t="shared" si="6"/>
        <v>-2.6470588235294117</v>
      </c>
      <c r="J12" s="33">
        <f t="shared" si="5"/>
        <v>6.6170518881513679E-2</v>
      </c>
    </row>
    <row r="13" spans="1:10" x14ac:dyDescent="0.2">
      <c r="A13" s="26">
        <v>3.2</v>
      </c>
      <c r="B13" s="26">
        <v>2.2000000000000002</v>
      </c>
      <c r="C13" s="16">
        <v>0</v>
      </c>
      <c r="D13" s="15">
        <f t="shared" si="0"/>
        <v>3.2</v>
      </c>
      <c r="E13">
        <f t="shared" si="1"/>
        <v>0.96083427720323566</v>
      </c>
      <c r="F13" s="19">
        <f t="shared" si="2"/>
        <v>0.96083427720323566</v>
      </c>
      <c r="G13" s="21">
        <f t="shared" si="3"/>
        <v>3.0746696870503545</v>
      </c>
      <c r="H13" s="24">
        <f t="shared" si="4"/>
        <v>2.1138354098471188</v>
      </c>
      <c r="I13" s="32">
        <f t="shared" si="6"/>
        <v>-2.0588235294117645</v>
      </c>
      <c r="J13" s="33">
        <f t="shared" si="5"/>
        <v>0.11316384433668743</v>
      </c>
    </row>
    <row r="14" spans="1:10" x14ac:dyDescent="0.2">
      <c r="A14" s="26">
        <v>3.5</v>
      </c>
      <c r="B14" s="26">
        <v>3.9</v>
      </c>
      <c r="C14" s="16">
        <v>0</v>
      </c>
      <c r="D14" s="15">
        <f t="shared" si="0"/>
        <v>4.9000000000000004</v>
      </c>
      <c r="E14">
        <f t="shared" si="1"/>
        <v>0.99260845865571812</v>
      </c>
      <c r="F14" s="19">
        <f t="shared" si="2"/>
        <v>0.99260845865571812</v>
      </c>
      <c r="G14" s="21">
        <f t="shared" si="3"/>
        <v>3.4741296052950132</v>
      </c>
      <c r="H14" s="24">
        <f t="shared" si="4"/>
        <v>3.8711729887573005</v>
      </c>
      <c r="I14" s="32">
        <f t="shared" si="6"/>
        <v>-1.4705882352941173</v>
      </c>
      <c r="J14" s="33">
        <f t="shared" si="5"/>
        <v>0.18685322156585987</v>
      </c>
    </row>
    <row r="15" spans="1:10" x14ac:dyDescent="0.2">
      <c r="A15" s="26">
        <v>2.2000000000000002</v>
      </c>
      <c r="B15" s="26">
        <v>4.0999999999999996</v>
      </c>
      <c r="C15" s="16">
        <v>0</v>
      </c>
      <c r="D15" s="15">
        <f t="shared" si="0"/>
        <v>5.0999999999999996</v>
      </c>
      <c r="E15">
        <f t="shared" si="1"/>
        <v>0.99394019850841575</v>
      </c>
      <c r="F15" s="19">
        <f t="shared" si="2"/>
        <v>0.99394019850841575</v>
      </c>
      <c r="G15" s="21">
        <f t="shared" si="3"/>
        <v>2.1866684367185147</v>
      </c>
      <c r="H15" s="24">
        <f t="shared" si="4"/>
        <v>4.0751548138845042</v>
      </c>
      <c r="I15" s="32">
        <f t="shared" si="6"/>
        <v>-0.88235294117647023</v>
      </c>
      <c r="J15" s="33">
        <f t="shared" si="5"/>
        <v>0.2926904290746008</v>
      </c>
    </row>
    <row r="16" spans="1:10" x14ac:dyDescent="0.2">
      <c r="A16" s="26">
        <v>3.3</v>
      </c>
      <c r="B16" s="26">
        <v>2.9</v>
      </c>
      <c r="C16" s="16">
        <v>0</v>
      </c>
      <c r="D16" s="15">
        <f t="shared" si="0"/>
        <v>3.9</v>
      </c>
      <c r="E16">
        <f t="shared" si="1"/>
        <v>0.98015969426592253</v>
      </c>
      <c r="F16" s="19">
        <f t="shared" si="2"/>
        <v>0.98015969426592253</v>
      </c>
      <c r="G16" s="21">
        <f t="shared" si="3"/>
        <v>3.2345269910775443</v>
      </c>
      <c r="H16" s="24">
        <f t="shared" si="4"/>
        <v>2.8424631133711751</v>
      </c>
      <c r="I16" s="32">
        <f t="shared" si="6"/>
        <v>-0.29411764705882315</v>
      </c>
      <c r="J16" s="33">
        <f t="shared" si="5"/>
        <v>0.42699609907466224</v>
      </c>
    </row>
    <row r="17" spans="1:10" x14ac:dyDescent="0.2">
      <c r="A17" s="27">
        <v>7.5</v>
      </c>
      <c r="B17" s="27">
        <v>2.8</v>
      </c>
      <c r="C17" s="17">
        <v>1</v>
      </c>
      <c r="D17" s="15">
        <f t="shared" si="0"/>
        <v>3.8</v>
      </c>
      <c r="E17">
        <f t="shared" si="1"/>
        <v>0.97811872906386943</v>
      </c>
      <c r="F17" s="19">
        <f t="shared" si="2"/>
        <v>-2.188127093613057E-2</v>
      </c>
      <c r="G17" s="21">
        <f t="shared" si="3"/>
        <v>-0.16410953202097928</v>
      </c>
      <c r="H17" s="24">
        <f t="shared" si="4"/>
        <v>-6.1267558621165591E-2</v>
      </c>
      <c r="I17" s="32">
        <f t="shared" si="6"/>
        <v>0.29411764705882393</v>
      </c>
      <c r="J17" s="33">
        <f t="shared" si="5"/>
        <v>0.57300390092533804</v>
      </c>
    </row>
    <row r="18" spans="1:10" x14ac:dyDescent="0.2">
      <c r="A18" s="27">
        <v>5.7</v>
      </c>
      <c r="B18" s="27">
        <v>2.1</v>
      </c>
      <c r="C18" s="17">
        <v>1</v>
      </c>
      <c r="D18" s="15">
        <f t="shared" si="0"/>
        <v>3.1</v>
      </c>
      <c r="E18">
        <f t="shared" si="1"/>
        <v>0.95689274505891386</v>
      </c>
      <c r="F18" s="19">
        <f t="shared" si="2"/>
        <v>-4.3107254941086137E-2</v>
      </c>
      <c r="G18" s="21">
        <f t="shared" si="3"/>
        <v>-0.24571135316419099</v>
      </c>
      <c r="H18" s="24">
        <f t="shared" si="4"/>
        <v>-9.0525235376280891E-2</v>
      </c>
      <c r="I18" s="32">
        <f t="shared" si="6"/>
        <v>0.88235294117647101</v>
      </c>
      <c r="J18" s="33">
        <f t="shared" si="5"/>
        <v>0.70730957092539937</v>
      </c>
    </row>
    <row r="19" spans="1:10" x14ac:dyDescent="0.2">
      <c r="A19" s="27">
        <v>6.9</v>
      </c>
      <c r="B19" s="27">
        <v>1.8</v>
      </c>
      <c r="C19" s="17">
        <v>1</v>
      </c>
      <c r="D19" s="15">
        <f t="shared" si="0"/>
        <v>2.8</v>
      </c>
      <c r="E19">
        <f t="shared" si="1"/>
        <v>0.94267582410113127</v>
      </c>
      <c r="F19" s="19">
        <f t="shared" si="2"/>
        <v>-5.7324175898868734E-2</v>
      </c>
      <c r="G19" s="21">
        <f t="shared" si="3"/>
        <v>-0.39553681370219429</v>
      </c>
      <c r="H19" s="24">
        <f t="shared" si="4"/>
        <v>-0.10318351661796372</v>
      </c>
      <c r="I19" s="32">
        <f t="shared" si="6"/>
        <v>1.4705882352941182</v>
      </c>
      <c r="J19" s="33">
        <f t="shared" si="5"/>
        <v>0.81314677843414029</v>
      </c>
    </row>
    <row r="20" spans="1:10" x14ac:dyDescent="0.2">
      <c r="A20" s="27">
        <v>6.7</v>
      </c>
      <c r="B20" s="27">
        <v>3.5</v>
      </c>
      <c r="C20" s="17">
        <v>1</v>
      </c>
      <c r="D20" s="15">
        <f t="shared" si="0"/>
        <v>4.5</v>
      </c>
      <c r="E20">
        <f t="shared" si="1"/>
        <v>0.98901305736940681</v>
      </c>
      <c r="F20" s="19">
        <f t="shared" si="2"/>
        <v>-1.0986942630593188E-2</v>
      </c>
      <c r="G20" s="21">
        <f t="shared" si="3"/>
        <v>-7.3612515624974367E-2</v>
      </c>
      <c r="H20" s="24">
        <f t="shared" si="4"/>
        <v>-3.8454299207076159E-2</v>
      </c>
      <c r="I20" s="32">
        <f t="shared" si="6"/>
        <v>2.0588235294117654</v>
      </c>
      <c r="J20" s="33">
        <f t="shared" si="5"/>
        <v>0.88683615566331253</v>
      </c>
    </row>
    <row r="21" spans="1:10" x14ac:dyDescent="0.2">
      <c r="A21" s="27">
        <v>7.7</v>
      </c>
      <c r="B21" s="27">
        <v>3.5</v>
      </c>
      <c r="C21" s="17">
        <v>1</v>
      </c>
      <c r="D21" s="15">
        <f t="shared" si="0"/>
        <v>4.5</v>
      </c>
      <c r="E21">
        <f t="shared" si="1"/>
        <v>0.98901305736940681</v>
      </c>
      <c r="F21" s="19">
        <f t="shared" si="2"/>
        <v>-1.0986942630593188E-2</v>
      </c>
      <c r="G21" s="21">
        <f t="shared" si="3"/>
        <v>-8.4599458255567556E-2</v>
      </c>
      <c r="H21" s="24">
        <f t="shared" si="4"/>
        <v>-3.8454299207076159E-2</v>
      </c>
      <c r="I21" s="32">
        <f t="shared" si="6"/>
        <v>2.6470588235294126</v>
      </c>
      <c r="J21" s="33">
        <f t="shared" si="5"/>
        <v>0.93382948111848652</v>
      </c>
    </row>
    <row r="22" spans="1:10" x14ac:dyDescent="0.2">
      <c r="A22" s="27">
        <v>6.9</v>
      </c>
      <c r="B22" s="27">
        <v>2.5</v>
      </c>
      <c r="C22" s="17">
        <v>1</v>
      </c>
      <c r="D22" s="15">
        <f t="shared" si="0"/>
        <v>3.5</v>
      </c>
      <c r="E22">
        <f t="shared" si="1"/>
        <v>0.97068776924864364</v>
      </c>
      <c r="F22" s="19">
        <f t="shared" si="2"/>
        <v>-2.9312230751356361E-2</v>
      </c>
      <c r="G22" s="21">
        <f t="shared" si="3"/>
        <v>-0.20225439218435889</v>
      </c>
      <c r="H22" s="24">
        <f t="shared" si="4"/>
        <v>-7.3280576878390902E-2</v>
      </c>
      <c r="I22" s="32">
        <f t="shared" si="6"/>
        <v>3.2352941176470598</v>
      </c>
      <c r="J22" s="33">
        <f t="shared" si="5"/>
        <v>0.96214106703803126</v>
      </c>
    </row>
    <row r="23" spans="1:10" x14ac:dyDescent="0.2">
      <c r="A23" s="27">
        <v>7.2</v>
      </c>
      <c r="B23" s="27">
        <v>3.1</v>
      </c>
      <c r="C23" s="17">
        <v>1</v>
      </c>
      <c r="D23" s="15">
        <f t="shared" si="0"/>
        <v>4.0999999999999996</v>
      </c>
      <c r="E23">
        <f t="shared" si="1"/>
        <v>0.9836975006285591</v>
      </c>
      <c r="F23" s="19">
        <f t="shared" si="2"/>
        <v>-1.6302499371440904E-2</v>
      </c>
      <c r="G23" s="21">
        <f t="shared" si="3"/>
        <v>-0.11737799547437451</v>
      </c>
      <c r="H23" s="24">
        <f t="shared" si="4"/>
        <v>-5.0537748051466803E-2</v>
      </c>
      <c r="I23" s="32">
        <f t="shared" si="6"/>
        <v>3.823529411764707</v>
      </c>
      <c r="J23" s="33">
        <f t="shared" si="5"/>
        <v>0.97861669186825895</v>
      </c>
    </row>
    <row r="24" spans="1:10" x14ac:dyDescent="0.2">
      <c r="A24" s="27">
        <v>6.5</v>
      </c>
      <c r="B24" s="27">
        <v>1.2</v>
      </c>
      <c r="C24" s="17">
        <v>1</v>
      </c>
      <c r="D24" s="15">
        <f t="shared" si="0"/>
        <v>2.2000000000000002</v>
      </c>
      <c r="E24">
        <f t="shared" si="1"/>
        <v>0.9002495108803148</v>
      </c>
      <c r="F24" s="19">
        <f t="shared" si="2"/>
        <v>-9.9750489119685204E-2</v>
      </c>
      <c r="G24" s="21">
        <f t="shared" si="3"/>
        <v>-0.64837817927795383</v>
      </c>
      <c r="H24" s="24">
        <f t="shared" si="4"/>
        <v>-0.11970058694362223</v>
      </c>
      <c r="I24" s="32">
        <f t="shared" si="6"/>
        <v>4.4117647058823541</v>
      </c>
      <c r="J24" s="33">
        <f t="shared" si="5"/>
        <v>0.98801171587487435</v>
      </c>
    </row>
    <row r="25" spans="1:10" x14ac:dyDescent="0.2">
      <c r="A25" s="27">
        <v>6.1</v>
      </c>
      <c r="B25" s="27">
        <v>2.2000000000000002</v>
      </c>
      <c r="C25" s="17">
        <v>1</v>
      </c>
      <c r="D25" s="15">
        <f t="shared" si="0"/>
        <v>3.2</v>
      </c>
      <c r="E25">
        <f t="shared" si="1"/>
        <v>0.96083427720323566</v>
      </c>
      <c r="F25" s="19">
        <f t="shared" si="2"/>
        <v>-3.9165722796764335E-2</v>
      </c>
      <c r="G25" s="21">
        <f t="shared" si="3"/>
        <v>-0.23891090906026244</v>
      </c>
      <c r="H25" s="24">
        <f t="shared" si="4"/>
        <v>-8.616459015288154E-2</v>
      </c>
      <c r="I25" s="32">
        <f t="shared" si="6"/>
        <v>5.0000000000000009</v>
      </c>
      <c r="J25" s="33">
        <f t="shared" si="5"/>
        <v>0.99330714907571527</v>
      </c>
    </row>
    <row r="26" spans="1:10" ht="15" customHeight="1" x14ac:dyDescent="0.2">
      <c r="A26" s="29"/>
      <c r="B26" s="29"/>
      <c r="C26" s="29"/>
      <c r="D26" s="29"/>
      <c r="E26" s="29"/>
      <c r="F26" s="29"/>
    </row>
    <row r="27" spans="1:10" ht="15" customHeight="1" x14ac:dyDescent="0.2">
      <c r="A27" s="29"/>
      <c r="B27" s="29"/>
      <c r="C27" s="29"/>
      <c r="D27" s="29"/>
      <c r="E27" s="29"/>
      <c r="F27" s="29"/>
    </row>
  </sheetData>
  <mergeCells count="1">
    <mergeCell ref="C2:D2"/>
  </mergeCells>
  <conditionalFormatting sqref="E8:E25">
    <cfRule type="cellIs" dxfId="6" priority="1" operator="lessThan">
      <formula>0.5</formula>
    </cfRule>
    <cfRule type="cellIs" dxfId="5" priority="2" operator="greaterThan">
      <formula>0.5</formula>
    </cfRule>
    <cfRule type="cellIs" dxfId="4" priority="3" operator="greaterThan">
      <formula>0.5</formula>
    </cfRule>
    <cfRule type="cellIs" dxfId="3" priority="4" operator="greaterThan">
      <formula>0.5</formula>
    </cfRule>
    <cfRule type="cellIs" dxfId="2" priority="5" operator="lessThan">
      <formula>0.5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poch_R_logistica">
                <anchor moveWithCells="1" sizeWithCells="1">
                  <from>
                    <xdr:col>7</xdr:col>
                    <xdr:colOff>25400</xdr:colOff>
                    <xdr:row>2</xdr:row>
                    <xdr:rowOff>12700</xdr:rowOff>
                  </from>
                  <to>
                    <xdr:col>8</xdr:col>
                    <xdr:colOff>749300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492DE-C484-4EEA-85D2-C8A117326049}">
  <dimension ref="A1:I39"/>
  <sheetViews>
    <sheetView workbookViewId="0">
      <selection activeCell="H8" sqref="H8"/>
    </sheetView>
  </sheetViews>
  <sheetFormatPr baseColWidth="10" defaultRowHeight="15" x14ac:dyDescent="0.2"/>
  <cols>
    <col min="3" max="3" width="11.83203125" bestFit="1" customWidth="1"/>
    <col min="8" max="9" width="13" bestFit="1" customWidth="1"/>
  </cols>
  <sheetData>
    <row r="1" spans="1:9" x14ac:dyDescent="0.2">
      <c r="A1" s="8" t="s">
        <v>14</v>
      </c>
      <c r="B1" s="8" t="s">
        <v>15</v>
      </c>
      <c r="C1" s="28" t="s">
        <v>25</v>
      </c>
      <c r="D1" s="28" t="s">
        <v>26</v>
      </c>
      <c r="E1" s="28" t="s">
        <v>27</v>
      </c>
    </row>
    <row r="2" spans="1:9" x14ac:dyDescent="0.2">
      <c r="A2" s="34">
        <v>2.5</v>
      </c>
      <c r="B2" s="34">
        <v>2.5</v>
      </c>
      <c r="C2" s="30">
        <f t="shared" ref="C2:C19" si="0">SQRT(POWER((A2-$H$6),2)+POWER((B2-$H$7),2))</f>
        <v>1.5811388300841898</v>
      </c>
      <c r="D2" s="30">
        <f t="shared" ref="D2:D19" si="1">SQRT(POWER((A2-$I$6),2)+POWER((B2-$I$7),2))</f>
        <v>1.5811388300841898</v>
      </c>
      <c r="E2" s="28">
        <f>IF(C2&lt;D2, 1, 2)</f>
        <v>2</v>
      </c>
    </row>
    <row r="3" spans="1:9" x14ac:dyDescent="0.2">
      <c r="A3" s="34">
        <v>1.9</v>
      </c>
      <c r="B3" s="34">
        <v>2.9</v>
      </c>
      <c r="C3" s="30">
        <f t="shared" si="0"/>
        <v>1.9026297590440449</v>
      </c>
      <c r="D3" s="30">
        <f t="shared" si="1"/>
        <v>2.2847319317591723</v>
      </c>
      <c r="E3" s="28">
        <f t="shared" ref="E3:E19" si="2">IF(C3&lt;D3, 1, 2)</f>
        <v>1</v>
      </c>
    </row>
    <row r="4" spans="1:9" ht="16" thickBot="1" x14ac:dyDescent="0.25">
      <c r="A4" s="34">
        <v>3.4</v>
      </c>
      <c r="B4" s="34">
        <v>4.4000000000000004</v>
      </c>
      <c r="C4" s="30">
        <f t="shared" si="0"/>
        <v>3.6769552621700474</v>
      </c>
      <c r="D4" s="30">
        <f t="shared" si="1"/>
        <v>2.4738633753705965</v>
      </c>
      <c r="E4" s="28">
        <f t="shared" si="2"/>
        <v>2</v>
      </c>
      <c r="G4" s="35"/>
      <c r="H4" s="48" t="s">
        <v>28</v>
      </c>
      <c r="I4" s="48"/>
    </row>
    <row r="5" spans="1:9" x14ac:dyDescent="0.2">
      <c r="A5" s="34">
        <v>2.9</v>
      </c>
      <c r="B5" s="34">
        <v>3.6</v>
      </c>
      <c r="C5" s="30">
        <f t="shared" si="0"/>
        <v>2.7513632984395211</v>
      </c>
      <c r="D5" s="30">
        <f t="shared" si="1"/>
        <v>1.94164878389476</v>
      </c>
      <c r="E5" s="28">
        <f t="shared" si="2"/>
        <v>2</v>
      </c>
      <c r="G5" s="38"/>
      <c r="H5" s="39" t="s">
        <v>32</v>
      </c>
      <c r="I5" s="40" t="s">
        <v>33</v>
      </c>
    </row>
    <row r="6" spans="1:9" x14ac:dyDescent="0.2">
      <c r="A6" s="34">
        <v>3.1</v>
      </c>
      <c r="B6" s="34">
        <v>3.1</v>
      </c>
      <c r="C6" s="30">
        <f t="shared" si="0"/>
        <v>2.3706539182259396</v>
      </c>
      <c r="D6" s="30">
        <f t="shared" si="1"/>
        <v>1.4212670403551895</v>
      </c>
      <c r="E6" s="28">
        <f t="shared" si="2"/>
        <v>2</v>
      </c>
      <c r="G6" s="41" t="s">
        <v>30</v>
      </c>
      <c r="H6" s="43">
        <v>2</v>
      </c>
      <c r="I6" s="45">
        <v>4</v>
      </c>
    </row>
    <row r="7" spans="1:9" ht="16" thickBot="1" x14ac:dyDescent="0.25">
      <c r="A7" s="34">
        <v>3.2</v>
      </c>
      <c r="B7" s="34">
        <v>2.2000000000000002</v>
      </c>
      <c r="C7" s="30">
        <f t="shared" si="0"/>
        <v>1.6970562748477143</v>
      </c>
      <c r="D7" s="30">
        <f t="shared" si="1"/>
        <v>0.82462112512353192</v>
      </c>
      <c r="E7" s="28">
        <f t="shared" si="2"/>
        <v>2</v>
      </c>
      <c r="G7" s="42" t="s">
        <v>31</v>
      </c>
      <c r="H7" s="44">
        <v>1</v>
      </c>
      <c r="I7" s="46">
        <v>2</v>
      </c>
    </row>
    <row r="8" spans="1:9" x14ac:dyDescent="0.2">
      <c r="A8" s="34">
        <v>3.5</v>
      </c>
      <c r="B8" s="34">
        <v>3.9</v>
      </c>
      <c r="C8" s="30">
        <f t="shared" si="0"/>
        <v>3.2649655434629015</v>
      </c>
      <c r="D8" s="30">
        <f t="shared" si="1"/>
        <v>1.96468827043885</v>
      </c>
      <c r="E8" s="28">
        <f t="shared" si="2"/>
        <v>2</v>
      </c>
    </row>
    <row r="9" spans="1:9" x14ac:dyDescent="0.2">
      <c r="A9" s="34">
        <v>2.2000000000000002</v>
      </c>
      <c r="B9" s="34">
        <v>4.0999999999999996</v>
      </c>
      <c r="C9" s="30">
        <f t="shared" si="0"/>
        <v>3.1064449134018131</v>
      </c>
      <c r="D9" s="30">
        <f t="shared" si="1"/>
        <v>2.7658633371878656</v>
      </c>
      <c r="E9" s="28">
        <f t="shared" si="2"/>
        <v>2</v>
      </c>
    </row>
    <row r="10" spans="1:9" x14ac:dyDescent="0.2">
      <c r="A10" s="34">
        <v>3.3</v>
      </c>
      <c r="B10" s="34">
        <v>2.9</v>
      </c>
      <c r="C10" s="30">
        <f t="shared" si="0"/>
        <v>2.3021728866442674</v>
      </c>
      <c r="D10" s="30">
        <f t="shared" si="1"/>
        <v>1.1401754250991381</v>
      </c>
      <c r="E10" s="28">
        <f t="shared" si="2"/>
        <v>2</v>
      </c>
      <c r="G10" s="35"/>
      <c r="H10" s="48" t="s">
        <v>29</v>
      </c>
      <c r="I10" s="48"/>
    </row>
    <row r="11" spans="1:9" x14ac:dyDescent="0.2">
      <c r="A11" s="34">
        <v>7.5</v>
      </c>
      <c r="B11" s="34">
        <v>2.8</v>
      </c>
      <c r="C11" s="30">
        <f t="shared" si="0"/>
        <v>5.7870545184921145</v>
      </c>
      <c r="D11" s="30">
        <f t="shared" si="1"/>
        <v>3.5902646142032486</v>
      </c>
      <c r="E11" s="28">
        <f t="shared" si="2"/>
        <v>2</v>
      </c>
      <c r="G11" s="28"/>
      <c r="H11" s="28" t="s">
        <v>32</v>
      </c>
      <c r="I11" s="28" t="s">
        <v>33</v>
      </c>
    </row>
    <row r="12" spans="1:9" x14ac:dyDescent="0.2">
      <c r="A12" s="34">
        <v>5.7</v>
      </c>
      <c r="B12" s="34">
        <v>2.1</v>
      </c>
      <c r="C12" s="30">
        <f t="shared" si="0"/>
        <v>3.8600518131237567</v>
      </c>
      <c r="D12" s="30">
        <f t="shared" si="1"/>
        <v>1.7029386365926404</v>
      </c>
      <c r="E12" s="28">
        <f t="shared" si="2"/>
        <v>2</v>
      </c>
      <c r="G12" s="28" t="s">
        <v>30</v>
      </c>
      <c r="H12" s="30">
        <f>(SUMIFS(A2:A19,E2:E19,1))/COUNTIFS(E2:E19,1)</f>
        <v>1.9</v>
      </c>
      <c r="I12" s="30">
        <f>SUMIFS(A2:A19,E2:E19,2)/COUNTIFS(E2:E19,2)</f>
        <v>5.0176470588235302</v>
      </c>
    </row>
    <row r="13" spans="1:9" x14ac:dyDescent="0.2">
      <c r="A13" s="34">
        <v>6.9</v>
      </c>
      <c r="B13" s="34">
        <v>1.8</v>
      </c>
      <c r="C13" s="30">
        <f t="shared" si="0"/>
        <v>4.9648766349225646</v>
      </c>
      <c r="D13" s="30">
        <f t="shared" si="1"/>
        <v>2.9068883707497268</v>
      </c>
      <c r="E13" s="28">
        <f t="shared" si="2"/>
        <v>2</v>
      </c>
      <c r="G13" s="28" t="s">
        <v>31</v>
      </c>
      <c r="H13" s="30">
        <f>SUMIFS(B2:B19,E2:E19,1)/COUNTIFS(E2:E19,1)</f>
        <v>2.9</v>
      </c>
      <c r="I13" s="30">
        <f>SUMIFS(B2:B19,E2:E19,2)/COUNTIFS(E2:E19,2)</f>
        <v>2.9058823529411768</v>
      </c>
    </row>
    <row r="14" spans="1:9" x14ac:dyDescent="0.2">
      <c r="A14" s="34">
        <v>6.7</v>
      </c>
      <c r="B14" s="34">
        <v>3.5</v>
      </c>
      <c r="C14" s="30">
        <f t="shared" si="0"/>
        <v>5.3235326616824663</v>
      </c>
      <c r="D14" s="30">
        <f t="shared" si="1"/>
        <v>3.0886890422961004</v>
      </c>
      <c r="E14" s="28">
        <f t="shared" si="2"/>
        <v>2</v>
      </c>
    </row>
    <row r="15" spans="1:9" x14ac:dyDescent="0.2">
      <c r="A15" s="34">
        <v>7.7</v>
      </c>
      <c r="B15" s="34">
        <v>3.5</v>
      </c>
      <c r="C15" s="30">
        <f t="shared" si="0"/>
        <v>6.2241465278381742</v>
      </c>
      <c r="D15" s="30">
        <f t="shared" si="1"/>
        <v>3.9924929555354258</v>
      </c>
      <c r="E15" s="28">
        <f t="shared" si="2"/>
        <v>2</v>
      </c>
    </row>
    <row r="16" spans="1:9" x14ac:dyDescent="0.2">
      <c r="A16" s="34">
        <v>6.9</v>
      </c>
      <c r="B16" s="34">
        <v>2.5</v>
      </c>
      <c r="C16" s="30">
        <f t="shared" si="0"/>
        <v>5.1244511901275835</v>
      </c>
      <c r="D16" s="30">
        <f t="shared" si="1"/>
        <v>2.9427877939124327</v>
      </c>
      <c r="E16" s="28">
        <f t="shared" si="2"/>
        <v>2</v>
      </c>
    </row>
    <row r="17" spans="1:5" x14ac:dyDescent="0.2">
      <c r="A17" s="34">
        <v>7.2</v>
      </c>
      <c r="B17" s="34">
        <v>3.1</v>
      </c>
      <c r="C17" s="30">
        <f t="shared" si="0"/>
        <v>5.6080299571239811</v>
      </c>
      <c r="D17" s="30">
        <f t="shared" si="1"/>
        <v>3.3837848631377265</v>
      </c>
      <c r="E17" s="28">
        <f t="shared" si="2"/>
        <v>2</v>
      </c>
    </row>
    <row r="18" spans="1:5" x14ac:dyDescent="0.2">
      <c r="A18" s="34">
        <v>6.5</v>
      </c>
      <c r="B18" s="34">
        <v>1.2</v>
      </c>
      <c r="C18" s="30">
        <f t="shared" si="0"/>
        <v>4.5044422518220832</v>
      </c>
      <c r="D18" s="30">
        <f t="shared" si="1"/>
        <v>2.6248809496813377</v>
      </c>
      <c r="E18" s="28">
        <f t="shared" si="2"/>
        <v>2</v>
      </c>
    </row>
    <row r="19" spans="1:5" x14ac:dyDescent="0.2">
      <c r="A19" s="34">
        <v>6.1</v>
      </c>
      <c r="B19" s="34">
        <v>2.2000000000000002</v>
      </c>
      <c r="C19" s="30">
        <f t="shared" si="0"/>
        <v>4.2720018726587652</v>
      </c>
      <c r="D19" s="30">
        <f t="shared" si="1"/>
        <v>2.1095023109728981</v>
      </c>
      <c r="E19" s="28">
        <f t="shared" si="2"/>
        <v>2</v>
      </c>
    </row>
    <row r="20" spans="1:5" x14ac:dyDescent="0.2">
      <c r="A20" s="28"/>
      <c r="B20" s="28"/>
      <c r="C20" s="28"/>
      <c r="D20" s="28"/>
      <c r="E20" s="28"/>
    </row>
    <row r="21" spans="1:5" x14ac:dyDescent="0.2">
      <c r="A21" s="36" t="s">
        <v>34</v>
      </c>
      <c r="B21" s="36" t="s">
        <v>35</v>
      </c>
      <c r="C21" s="36" t="s">
        <v>36</v>
      </c>
      <c r="D21" s="36" t="s">
        <v>37</v>
      </c>
    </row>
    <row r="22" spans="1:5" x14ac:dyDescent="0.2">
      <c r="A22" s="37" t="b">
        <f>IF(E2=1,A2)</f>
        <v>0</v>
      </c>
      <c r="B22" s="37" t="b">
        <f>IF(E2=1,B2)</f>
        <v>0</v>
      </c>
      <c r="C22" s="37">
        <f>IF(E2=2,A2)</f>
        <v>2.5</v>
      </c>
      <c r="D22" s="37">
        <f>IF(E2=2,B2)</f>
        <v>2.5</v>
      </c>
    </row>
    <row r="23" spans="1:5" x14ac:dyDescent="0.2">
      <c r="A23" s="37">
        <f t="shared" ref="A23:A39" si="3">IF(E3=1,A3)</f>
        <v>1.9</v>
      </c>
      <c r="B23" s="37">
        <f t="shared" ref="B23:B39" si="4">IF(E3=1,B3)</f>
        <v>2.9</v>
      </c>
      <c r="C23" s="37" t="b">
        <f t="shared" ref="C23:C39" si="5">IF(E3=2,A3)</f>
        <v>0</v>
      </c>
      <c r="D23" s="37" t="b">
        <f t="shared" ref="D23:D39" si="6">IF(E3=2,B3)</f>
        <v>0</v>
      </c>
    </row>
    <row r="24" spans="1:5" x14ac:dyDescent="0.2">
      <c r="A24" s="37" t="b">
        <f t="shared" si="3"/>
        <v>0</v>
      </c>
      <c r="B24" s="37" t="b">
        <f t="shared" si="4"/>
        <v>0</v>
      </c>
      <c r="C24" s="37">
        <f t="shared" si="5"/>
        <v>3.4</v>
      </c>
      <c r="D24" s="37">
        <f t="shared" si="6"/>
        <v>4.4000000000000004</v>
      </c>
    </row>
    <row r="25" spans="1:5" x14ac:dyDescent="0.2">
      <c r="A25" s="37" t="b">
        <f t="shared" si="3"/>
        <v>0</v>
      </c>
      <c r="B25" s="37" t="b">
        <f t="shared" si="4"/>
        <v>0</v>
      </c>
      <c r="C25" s="37">
        <f t="shared" si="5"/>
        <v>2.9</v>
      </c>
      <c r="D25" s="37">
        <f t="shared" si="6"/>
        <v>3.6</v>
      </c>
    </row>
    <row r="26" spans="1:5" x14ac:dyDescent="0.2">
      <c r="A26" s="37" t="b">
        <f t="shared" si="3"/>
        <v>0</v>
      </c>
      <c r="B26" s="37" t="b">
        <f t="shared" si="4"/>
        <v>0</v>
      </c>
      <c r="C26" s="37">
        <f t="shared" si="5"/>
        <v>3.1</v>
      </c>
      <c r="D26" s="37">
        <f t="shared" si="6"/>
        <v>3.1</v>
      </c>
    </row>
    <row r="27" spans="1:5" x14ac:dyDescent="0.2">
      <c r="A27" s="37" t="b">
        <f t="shared" si="3"/>
        <v>0</v>
      </c>
      <c r="B27" s="37" t="b">
        <f t="shared" si="4"/>
        <v>0</v>
      </c>
      <c r="C27" s="37">
        <f t="shared" si="5"/>
        <v>3.2</v>
      </c>
      <c r="D27" s="37">
        <f t="shared" si="6"/>
        <v>2.2000000000000002</v>
      </c>
    </row>
    <row r="28" spans="1:5" x14ac:dyDescent="0.2">
      <c r="A28" s="37" t="b">
        <f t="shared" si="3"/>
        <v>0</v>
      </c>
      <c r="B28" s="37" t="b">
        <f t="shared" si="4"/>
        <v>0</v>
      </c>
      <c r="C28" s="37">
        <f t="shared" si="5"/>
        <v>3.5</v>
      </c>
      <c r="D28" s="37">
        <f t="shared" si="6"/>
        <v>3.9</v>
      </c>
    </row>
    <row r="29" spans="1:5" x14ac:dyDescent="0.2">
      <c r="A29" s="37" t="b">
        <f t="shared" si="3"/>
        <v>0</v>
      </c>
      <c r="B29" s="37" t="b">
        <f t="shared" si="4"/>
        <v>0</v>
      </c>
      <c r="C29" s="37">
        <f t="shared" si="5"/>
        <v>2.2000000000000002</v>
      </c>
      <c r="D29" s="37">
        <f t="shared" si="6"/>
        <v>4.0999999999999996</v>
      </c>
    </row>
    <row r="30" spans="1:5" x14ac:dyDescent="0.2">
      <c r="A30" s="37" t="b">
        <f t="shared" si="3"/>
        <v>0</v>
      </c>
      <c r="B30" s="37" t="b">
        <f t="shared" si="4"/>
        <v>0</v>
      </c>
      <c r="C30" s="37">
        <f t="shared" si="5"/>
        <v>3.3</v>
      </c>
      <c r="D30" s="37">
        <f t="shared" si="6"/>
        <v>2.9</v>
      </c>
    </row>
    <row r="31" spans="1:5" x14ac:dyDescent="0.2">
      <c r="A31" s="37" t="b">
        <f t="shared" si="3"/>
        <v>0</v>
      </c>
      <c r="B31" s="37" t="b">
        <f t="shared" si="4"/>
        <v>0</v>
      </c>
      <c r="C31" s="37">
        <f t="shared" si="5"/>
        <v>7.5</v>
      </c>
      <c r="D31" s="37">
        <f t="shared" si="6"/>
        <v>2.8</v>
      </c>
    </row>
    <row r="32" spans="1:5" x14ac:dyDescent="0.2">
      <c r="A32" s="37" t="b">
        <f t="shared" si="3"/>
        <v>0</v>
      </c>
      <c r="B32" s="37" t="b">
        <f t="shared" si="4"/>
        <v>0</v>
      </c>
      <c r="C32" s="37">
        <f t="shared" si="5"/>
        <v>5.7</v>
      </c>
      <c r="D32" s="37">
        <f t="shared" si="6"/>
        <v>2.1</v>
      </c>
    </row>
    <row r="33" spans="1:4" x14ac:dyDescent="0.2">
      <c r="A33" s="37" t="b">
        <f t="shared" si="3"/>
        <v>0</v>
      </c>
      <c r="B33" s="37" t="b">
        <f t="shared" si="4"/>
        <v>0</v>
      </c>
      <c r="C33" s="37">
        <f t="shared" si="5"/>
        <v>6.9</v>
      </c>
      <c r="D33" s="37">
        <f t="shared" si="6"/>
        <v>1.8</v>
      </c>
    </row>
    <row r="34" spans="1:4" x14ac:dyDescent="0.2">
      <c r="A34" s="37" t="b">
        <f t="shared" si="3"/>
        <v>0</v>
      </c>
      <c r="B34" s="37" t="b">
        <f t="shared" si="4"/>
        <v>0</v>
      </c>
      <c r="C34" s="37">
        <f t="shared" si="5"/>
        <v>6.7</v>
      </c>
      <c r="D34" s="37">
        <f t="shared" si="6"/>
        <v>3.5</v>
      </c>
    </row>
    <row r="35" spans="1:4" x14ac:dyDescent="0.2">
      <c r="A35" s="37" t="b">
        <f t="shared" si="3"/>
        <v>0</v>
      </c>
      <c r="B35" s="37" t="b">
        <f t="shared" si="4"/>
        <v>0</v>
      </c>
      <c r="C35" s="37">
        <f t="shared" si="5"/>
        <v>7.7</v>
      </c>
      <c r="D35" s="37">
        <f t="shared" si="6"/>
        <v>3.5</v>
      </c>
    </row>
    <row r="36" spans="1:4" x14ac:dyDescent="0.2">
      <c r="A36" s="37" t="b">
        <f t="shared" si="3"/>
        <v>0</v>
      </c>
      <c r="B36" s="37" t="b">
        <f t="shared" si="4"/>
        <v>0</v>
      </c>
      <c r="C36" s="37">
        <f t="shared" si="5"/>
        <v>6.9</v>
      </c>
      <c r="D36" s="37">
        <f t="shared" si="6"/>
        <v>2.5</v>
      </c>
    </row>
    <row r="37" spans="1:4" x14ac:dyDescent="0.2">
      <c r="A37" s="37" t="b">
        <f t="shared" si="3"/>
        <v>0</v>
      </c>
      <c r="B37" s="37" t="b">
        <f t="shared" si="4"/>
        <v>0</v>
      </c>
      <c r="C37" s="37">
        <f t="shared" si="5"/>
        <v>7.2</v>
      </c>
      <c r="D37" s="37">
        <f t="shared" si="6"/>
        <v>3.1</v>
      </c>
    </row>
    <row r="38" spans="1:4" x14ac:dyDescent="0.2">
      <c r="A38" s="37" t="b">
        <f t="shared" si="3"/>
        <v>0</v>
      </c>
      <c r="B38" s="37" t="b">
        <f t="shared" si="4"/>
        <v>0</v>
      </c>
      <c r="C38" s="37">
        <f t="shared" si="5"/>
        <v>6.5</v>
      </c>
      <c r="D38" s="37">
        <f t="shared" si="6"/>
        <v>1.2</v>
      </c>
    </row>
    <row r="39" spans="1:4" x14ac:dyDescent="0.2">
      <c r="A39" s="37" t="b">
        <f t="shared" si="3"/>
        <v>0</v>
      </c>
      <c r="B39" s="37" t="b">
        <f t="shared" si="4"/>
        <v>0</v>
      </c>
      <c r="C39" s="37">
        <f t="shared" si="5"/>
        <v>6.1</v>
      </c>
      <c r="D39" s="37">
        <f t="shared" si="6"/>
        <v>2.2000000000000002</v>
      </c>
    </row>
  </sheetData>
  <mergeCells count="2">
    <mergeCell ref="H4:I4"/>
    <mergeCell ref="H10:I10"/>
  </mergeCells>
  <conditionalFormatting sqref="E2:E19">
    <cfRule type="cellIs" dxfId="1" priority="2" operator="equal">
      <formula>1</formula>
    </cfRule>
  </conditionalFormatting>
  <conditionalFormatting sqref="E2:E19">
    <cfRule type="cellIs" dxfId="0" priority="1" operator="equal">
      <formula>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lustering_epoch">
                <anchor moveWithCells="1" sizeWithCells="1">
                  <from>
                    <xdr:col>6</xdr:col>
                    <xdr:colOff>12700</xdr:colOff>
                    <xdr:row>14</xdr:row>
                    <xdr:rowOff>177800</xdr:rowOff>
                  </from>
                  <to>
                    <xdr:col>8</xdr:col>
                    <xdr:colOff>749300</xdr:colOff>
                    <xdr:row>18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Regresión Lineal</vt:lpstr>
      <vt:lpstr>Regresión Logistica</vt:lpstr>
      <vt:lpstr>K-Means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Moya</dc:creator>
  <cp:lastModifiedBy>Richard Moya</cp:lastModifiedBy>
  <dcterms:created xsi:type="dcterms:W3CDTF">2018-05-19T09:48:02Z</dcterms:created>
  <dcterms:modified xsi:type="dcterms:W3CDTF">2019-11-29T07:35:15Z</dcterms:modified>
</cp:coreProperties>
</file>